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R proyectos\EH\"/>
    </mc:Choice>
  </mc:AlternateContent>
  <xr:revisionPtr revIDLastSave="0" documentId="13_ncr:1_{286A5ECA-F503-4629-A604-794734977B3B}" xr6:coauthVersionLast="47" xr6:coauthVersionMax="47" xr10:uidLastSave="{00000000-0000-0000-0000-000000000000}"/>
  <bookViews>
    <workbookView xWindow="-108" yWindow="-108" windowWidth="23256" windowHeight="12456" xr2:uid="{AF4903CF-EEB0-4E7F-A3B7-F36FE862EAE0}"/>
  </bookViews>
  <sheets>
    <sheet name="trimestral_%_pibt" sheetId="10" r:id="rId1"/>
    <sheet name="Hoja1" sheetId="7" r:id="rId2"/>
    <sheet name="ponderacion_pibt" sheetId="11" r:id="rId3"/>
    <sheet name="ponderacione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" i="11" l="1"/>
  <c r="AN3" i="11" s="1"/>
  <c r="AL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3" i="11"/>
  <c r="AI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3" i="11"/>
  <c r="G3" i="11" l="1"/>
  <c r="H3" i="11" s="1"/>
  <c r="O3" i="9"/>
  <c r="G4" i="11"/>
  <c r="G5" i="11"/>
  <c r="H5" i="11" s="1"/>
  <c r="G6" i="11"/>
  <c r="H6" i="11" s="1"/>
  <c r="G7" i="11"/>
  <c r="H7" i="11" s="1"/>
  <c r="G8" i="11"/>
  <c r="G9" i="11"/>
  <c r="H9" i="11" s="1"/>
  <c r="G10" i="11"/>
  <c r="H10" i="11" s="1"/>
  <c r="G11" i="11"/>
  <c r="H11" i="11" s="1"/>
  <c r="G12" i="11"/>
  <c r="H12" i="11" s="1"/>
  <c r="G13" i="11"/>
  <c r="H13" i="11" s="1"/>
  <c r="G14" i="11"/>
  <c r="H14" i="11" s="1"/>
  <c r="G15" i="11"/>
  <c r="H15" i="11" s="1"/>
  <c r="G16" i="11"/>
  <c r="H16" i="11" s="1"/>
  <c r="G17" i="11"/>
  <c r="H17" i="11" s="1"/>
  <c r="G18" i="11"/>
  <c r="H18" i="11" s="1"/>
  <c r="G19" i="11"/>
  <c r="H19" i="11" s="1"/>
  <c r="N19" i="11" s="1"/>
  <c r="G20" i="11"/>
  <c r="H20" i="11" s="1"/>
  <c r="G21" i="11"/>
  <c r="H21" i="11" s="1"/>
  <c r="G22" i="11"/>
  <c r="H22" i="11" s="1"/>
  <c r="G23" i="11"/>
  <c r="H23" i="11" s="1"/>
  <c r="G24" i="11"/>
  <c r="H24" i="11" s="1"/>
  <c r="G25" i="11"/>
  <c r="H25" i="11" s="1"/>
  <c r="G26" i="11"/>
  <c r="H26" i="11" s="1"/>
  <c r="G27" i="11"/>
  <c r="H27" i="11" s="1"/>
  <c r="G28" i="11"/>
  <c r="H28" i="11" s="1"/>
  <c r="G29" i="11"/>
  <c r="H29" i="11" s="1"/>
  <c r="G30" i="11"/>
  <c r="H30" i="11" s="1"/>
  <c r="G31" i="11"/>
  <c r="H31" i="11" s="1"/>
  <c r="N31" i="11" s="1"/>
  <c r="G32" i="11"/>
  <c r="H32" i="11" s="1"/>
  <c r="G33" i="11"/>
  <c r="H33" i="11" s="1"/>
  <c r="G34" i="11"/>
  <c r="H34" i="11" s="1"/>
  <c r="G35" i="11"/>
  <c r="H35" i="11" s="1"/>
  <c r="G36" i="11"/>
  <c r="H36" i="11" s="1"/>
  <c r="G37" i="11"/>
  <c r="H37" i="11" s="1"/>
  <c r="G38" i="11"/>
  <c r="H38" i="11" s="1"/>
  <c r="G39" i="11"/>
  <c r="H39" i="11" s="1"/>
  <c r="G40" i="11"/>
  <c r="H40" i="11" s="1"/>
  <c r="G41" i="11"/>
  <c r="H41" i="11" s="1"/>
  <c r="G42" i="11"/>
  <c r="H42" i="11" s="1"/>
  <c r="G43" i="11"/>
  <c r="H43" i="11" s="1"/>
  <c r="G44" i="11"/>
  <c r="H44" i="11" s="1"/>
  <c r="G45" i="11"/>
  <c r="H45" i="11" s="1"/>
  <c r="G46" i="11"/>
  <c r="H46" i="11" s="1"/>
  <c r="G47" i="11"/>
  <c r="H47" i="11" s="1"/>
  <c r="G48" i="11"/>
  <c r="H48" i="11" s="1"/>
  <c r="G49" i="11"/>
  <c r="H49" i="11" s="1"/>
  <c r="G50" i="11"/>
  <c r="H50" i="11" s="1"/>
  <c r="G51" i="11"/>
  <c r="H51" i="11" s="1"/>
  <c r="N51" i="11" s="1"/>
  <c r="G52" i="11"/>
  <c r="H52" i="11" s="1"/>
  <c r="G53" i="11"/>
  <c r="H53" i="11" s="1"/>
  <c r="G54" i="11"/>
  <c r="H54" i="11" s="1"/>
  <c r="G55" i="11"/>
  <c r="H55" i="11" s="1"/>
  <c r="G56" i="11"/>
  <c r="H56" i="11" s="1"/>
  <c r="G57" i="11"/>
  <c r="H57" i="11" s="1"/>
  <c r="G58" i="11"/>
  <c r="H58" i="11" s="1"/>
  <c r="G59" i="11"/>
  <c r="H59" i="11" s="1"/>
  <c r="G60" i="11"/>
  <c r="H60" i="11" s="1"/>
  <c r="G61" i="11"/>
  <c r="H61" i="11" s="1"/>
  <c r="G62" i="11"/>
  <c r="H62" i="11" s="1"/>
  <c r="G63" i="11"/>
  <c r="H63" i="11" s="1"/>
  <c r="G64" i="11"/>
  <c r="H64" i="11" s="1"/>
  <c r="G65" i="11"/>
  <c r="H65" i="11" s="1"/>
  <c r="G66" i="11"/>
  <c r="H66" i="11" s="1"/>
  <c r="G67" i="11"/>
  <c r="H67" i="11" s="1"/>
  <c r="N67" i="11" s="1"/>
  <c r="G68" i="11"/>
  <c r="H68" i="11" s="1"/>
  <c r="G69" i="11"/>
  <c r="H69" i="11" s="1"/>
  <c r="G70" i="11"/>
  <c r="H70" i="11" s="1"/>
  <c r="G71" i="11"/>
  <c r="H71" i="11" s="1"/>
  <c r="G72" i="11"/>
  <c r="H72" i="11" s="1"/>
  <c r="G73" i="11"/>
  <c r="H73" i="11" s="1"/>
  <c r="G74" i="11"/>
  <c r="H74" i="11" s="1"/>
  <c r="V3" i="9"/>
  <c r="V4" i="9"/>
  <c r="V5" i="9"/>
  <c r="T6" i="9"/>
  <c r="V6" i="9"/>
  <c r="V7" i="9"/>
  <c r="V8" i="9"/>
  <c r="T9" i="9"/>
  <c r="V9" i="9"/>
  <c r="T10" i="9"/>
  <c r="V10" i="9"/>
  <c r="V11" i="9"/>
  <c r="V12" i="9"/>
  <c r="V13" i="9"/>
  <c r="T14" i="9"/>
  <c r="V14" i="9"/>
  <c r="V15" i="9"/>
  <c r="V16" i="9"/>
  <c r="T17" i="9"/>
  <c r="V17" i="9"/>
  <c r="T18" i="9"/>
  <c r="V18" i="9"/>
  <c r="V19" i="9"/>
  <c r="V20" i="9"/>
  <c r="V21" i="9"/>
  <c r="T22" i="9"/>
  <c r="V22" i="9"/>
  <c r="V23" i="9"/>
  <c r="V24" i="9"/>
  <c r="T25" i="9"/>
  <c r="V25" i="9"/>
  <c r="T26" i="9"/>
  <c r="V26" i="9"/>
  <c r="V27" i="9"/>
  <c r="V28" i="9"/>
  <c r="V29" i="9"/>
  <c r="T30" i="9"/>
  <c r="V30" i="9"/>
  <c r="V31" i="9"/>
  <c r="V32" i="9"/>
  <c r="T33" i="9"/>
  <c r="V33" i="9"/>
  <c r="T34" i="9"/>
  <c r="V34" i="9"/>
  <c r="V35" i="9"/>
  <c r="V36" i="9"/>
  <c r="V37" i="9"/>
  <c r="T38" i="9"/>
  <c r="V38" i="9"/>
  <c r="V39" i="9"/>
  <c r="V40" i="9"/>
  <c r="T41" i="9"/>
  <c r="V41" i="9"/>
  <c r="T42" i="9"/>
  <c r="V42" i="9"/>
  <c r="V43" i="9"/>
  <c r="V44" i="9"/>
  <c r="V45" i="9"/>
  <c r="T46" i="9"/>
  <c r="V46" i="9"/>
  <c r="V47" i="9"/>
  <c r="V48" i="9"/>
  <c r="T49" i="9"/>
  <c r="V49" i="9"/>
  <c r="T50" i="9"/>
  <c r="V50" i="9"/>
  <c r="V51" i="9"/>
  <c r="V52" i="9"/>
  <c r="V53" i="9"/>
  <c r="T54" i="9"/>
  <c r="V54" i="9"/>
  <c r="V55" i="9"/>
  <c r="V56" i="9"/>
  <c r="T57" i="9"/>
  <c r="V57" i="9"/>
  <c r="T58" i="9"/>
  <c r="V58" i="9"/>
  <c r="V59" i="9"/>
  <c r="V60" i="9"/>
  <c r="V61" i="9"/>
  <c r="T62" i="9"/>
  <c r="V62" i="9"/>
  <c r="V63" i="9"/>
  <c r="V64" i="9"/>
  <c r="T65" i="9"/>
  <c r="V65" i="9"/>
  <c r="T66" i="9"/>
  <c r="V66" i="9"/>
  <c r="V67" i="9"/>
  <c r="V68" i="9"/>
  <c r="V69" i="9"/>
  <c r="T70" i="9"/>
  <c r="V70" i="9"/>
  <c r="V71" i="9"/>
  <c r="V72" i="9"/>
  <c r="T73" i="9"/>
  <c r="V73" i="9"/>
  <c r="T74" i="9"/>
  <c r="V74" i="9"/>
  <c r="V75" i="9"/>
  <c r="V76" i="9"/>
  <c r="V77" i="9"/>
  <c r="T78" i="9"/>
  <c r="V78" i="9"/>
  <c r="V79" i="9"/>
  <c r="V80" i="9"/>
  <c r="T81" i="9"/>
  <c r="V81" i="9"/>
  <c r="T82" i="9"/>
  <c r="V82" i="9"/>
  <c r="V83" i="9"/>
  <c r="V84" i="9"/>
  <c r="V85" i="9"/>
  <c r="T86" i="9"/>
  <c r="V86" i="9"/>
  <c r="V87" i="9"/>
  <c r="V88" i="9"/>
  <c r="T89" i="9"/>
  <c r="V89" i="9"/>
  <c r="T90" i="9"/>
  <c r="V90" i="9"/>
  <c r="V91" i="9"/>
  <c r="V92" i="9"/>
  <c r="V93" i="9"/>
  <c r="T94" i="9"/>
  <c r="V94" i="9"/>
  <c r="V95" i="9"/>
  <c r="V96" i="9"/>
  <c r="T97" i="9"/>
  <c r="V97" i="9"/>
  <c r="T98" i="9"/>
  <c r="V98" i="9"/>
  <c r="V99" i="9"/>
  <c r="V100" i="9"/>
  <c r="V101" i="9"/>
  <c r="T102" i="9"/>
  <c r="V102" i="9"/>
  <c r="V103" i="9"/>
  <c r="V104" i="9"/>
  <c r="T105" i="9"/>
  <c r="V105" i="9"/>
  <c r="T106" i="9"/>
  <c r="V106" i="9"/>
  <c r="V107" i="9"/>
  <c r="V108" i="9"/>
  <c r="V109" i="9"/>
  <c r="T110" i="9"/>
  <c r="V110" i="9"/>
  <c r="V111" i="9"/>
  <c r="V112" i="9"/>
  <c r="T113" i="9"/>
  <c r="V113" i="9"/>
  <c r="T114" i="9"/>
  <c r="V114" i="9"/>
  <c r="V115" i="9"/>
  <c r="V116" i="9"/>
  <c r="V117" i="9"/>
  <c r="T118" i="9"/>
  <c r="V118" i="9"/>
  <c r="V119" i="9"/>
  <c r="V120" i="9"/>
  <c r="T121" i="9"/>
  <c r="V121" i="9"/>
  <c r="T122" i="9"/>
  <c r="V122" i="9"/>
  <c r="V123" i="9"/>
  <c r="V124" i="9"/>
  <c r="V125" i="9"/>
  <c r="T126" i="9"/>
  <c r="V126" i="9"/>
  <c r="V127" i="9"/>
  <c r="V128" i="9"/>
  <c r="T129" i="9"/>
  <c r="V129" i="9"/>
  <c r="T130" i="9"/>
  <c r="V130" i="9"/>
  <c r="V131" i="9"/>
  <c r="V132" i="9"/>
  <c r="V133" i="9"/>
  <c r="T134" i="9"/>
  <c r="V134" i="9"/>
  <c r="V135" i="9"/>
  <c r="V136" i="9"/>
  <c r="T137" i="9"/>
  <c r="V137" i="9"/>
  <c r="T138" i="9"/>
  <c r="V138" i="9"/>
  <c r="V139" i="9"/>
  <c r="V140" i="9"/>
  <c r="V141" i="9"/>
  <c r="T142" i="9"/>
  <c r="V142" i="9"/>
  <c r="V143" i="9"/>
  <c r="V144" i="9"/>
  <c r="T145" i="9"/>
  <c r="V145" i="9"/>
  <c r="T146" i="9"/>
  <c r="V146" i="9"/>
  <c r="V147" i="9"/>
  <c r="V148" i="9"/>
  <c r="V149" i="9"/>
  <c r="T150" i="9"/>
  <c r="V150" i="9"/>
  <c r="V151" i="9"/>
  <c r="V152" i="9"/>
  <c r="T153" i="9"/>
  <c r="V153" i="9"/>
  <c r="T154" i="9"/>
  <c r="V154" i="9"/>
  <c r="V155" i="9"/>
  <c r="V156" i="9"/>
  <c r="V157" i="9"/>
  <c r="T158" i="9"/>
  <c r="V158" i="9"/>
  <c r="V159" i="9"/>
  <c r="V160" i="9"/>
  <c r="T161" i="9"/>
  <c r="V161" i="9"/>
  <c r="T162" i="9"/>
  <c r="V162" i="9"/>
  <c r="V163" i="9"/>
  <c r="AB163" i="9" s="1"/>
  <c r="V164" i="9"/>
  <c r="V165" i="9"/>
  <c r="T166" i="9"/>
  <c r="V166" i="9"/>
  <c r="V167" i="9"/>
  <c r="V168" i="9"/>
  <c r="T169" i="9"/>
  <c r="V169" i="9"/>
  <c r="T170" i="9"/>
  <c r="V170" i="9"/>
  <c r="V171" i="9"/>
  <c r="V172" i="9"/>
  <c r="V173" i="9"/>
  <c r="T174" i="9"/>
  <c r="V174" i="9"/>
  <c r="V175" i="9"/>
  <c r="V176" i="9"/>
  <c r="T177" i="9"/>
  <c r="V177" i="9"/>
  <c r="T178" i="9"/>
  <c r="V178" i="9"/>
  <c r="V179" i="9"/>
  <c r="V180" i="9"/>
  <c r="V181" i="9"/>
  <c r="T182" i="9"/>
  <c r="V182" i="9"/>
  <c r="V183" i="9"/>
  <c r="V184" i="9"/>
  <c r="T185" i="9"/>
  <c r="V185" i="9"/>
  <c r="T186" i="9"/>
  <c r="V186" i="9"/>
  <c r="V187" i="9"/>
  <c r="V188" i="9"/>
  <c r="V189" i="9"/>
  <c r="T190" i="9"/>
  <c r="V190" i="9"/>
  <c r="V191" i="9"/>
  <c r="V192" i="9"/>
  <c r="T193" i="9"/>
  <c r="V193" i="9"/>
  <c r="T194" i="9"/>
  <c r="V194" i="9"/>
  <c r="V195" i="9"/>
  <c r="V196" i="9"/>
  <c r="V197" i="9"/>
  <c r="T198" i="9"/>
  <c r="V198" i="9"/>
  <c r="V199" i="9"/>
  <c r="V200" i="9"/>
  <c r="T201" i="9"/>
  <c r="V201" i="9"/>
  <c r="T202" i="9"/>
  <c r="V202" i="9"/>
  <c r="V203" i="9"/>
  <c r="V204" i="9"/>
  <c r="V205" i="9"/>
  <c r="T206" i="9"/>
  <c r="V206" i="9"/>
  <c r="V207" i="9"/>
  <c r="V208" i="9"/>
  <c r="T209" i="9"/>
  <c r="V209" i="9"/>
  <c r="T210" i="9"/>
  <c r="V210" i="9"/>
  <c r="V211" i="9"/>
  <c r="V212" i="9"/>
  <c r="V213" i="9"/>
  <c r="T214" i="9"/>
  <c r="V214" i="9"/>
  <c r="V215" i="9"/>
  <c r="V216" i="9"/>
  <c r="T217" i="9"/>
  <c r="V217" i="9"/>
  <c r="T218" i="9"/>
  <c r="V218" i="9"/>
  <c r="AA147" i="9"/>
  <c r="Y85" i="9"/>
  <c r="Y102" i="9"/>
  <c r="Y110" i="9"/>
  <c r="Y126" i="9"/>
  <c r="Y189" i="9"/>
  <c r="X208" i="9"/>
  <c r="Y208" i="9" s="1"/>
  <c r="AA208" i="9" s="1"/>
  <c r="X209" i="9"/>
  <c r="Y209" i="9" s="1"/>
  <c r="AB209" i="9" s="1"/>
  <c r="X210" i="9"/>
  <c r="Y210" i="9" s="1"/>
  <c r="X211" i="9"/>
  <c r="Y211" i="9" s="1"/>
  <c r="X212" i="9"/>
  <c r="Y212" i="9" s="1"/>
  <c r="X213" i="9"/>
  <c r="Y213" i="9" s="1"/>
  <c r="X214" i="9"/>
  <c r="Y214" i="9" s="1"/>
  <c r="X215" i="9"/>
  <c r="Y215" i="9" s="1"/>
  <c r="X216" i="9"/>
  <c r="Y216" i="9" s="1"/>
  <c r="X217" i="9"/>
  <c r="Y217" i="9" s="1"/>
  <c r="X218" i="9"/>
  <c r="Y218" i="9" s="1"/>
  <c r="X207" i="9"/>
  <c r="Y207" i="9" s="1"/>
  <c r="X196" i="9"/>
  <c r="Y196" i="9" s="1"/>
  <c r="AB196" i="9" s="1"/>
  <c r="X197" i="9"/>
  <c r="Y197" i="9" s="1"/>
  <c r="X198" i="9"/>
  <c r="Y198" i="9" s="1"/>
  <c r="X199" i="9"/>
  <c r="Y199" i="9" s="1"/>
  <c r="X200" i="9"/>
  <c r="Y200" i="9" s="1"/>
  <c r="X201" i="9"/>
  <c r="Y201" i="9" s="1"/>
  <c r="X202" i="9"/>
  <c r="Y202" i="9" s="1"/>
  <c r="X203" i="9"/>
  <c r="Y203" i="9" s="1"/>
  <c r="AA203" i="9" s="1"/>
  <c r="X204" i="9"/>
  <c r="Y204" i="9" s="1"/>
  <c r="X205" i="9"/>
  <c r="Y205" i="9" s="1"/>
  <c r="X206" i="9"/>
  <c r="Y206" i="9" s="1"/>
  <c r="X195" i="9"/>
  <c r="Y195" i="9" s="1"/>
  <c r="X184" i="9"/>
  <c r="Y184" i="9" s="1"/>
  <c r="AA184" i="9" s="1"/>
  <c r="X185" i="9"/>
  <c r="Y185" i="9" s="1"/>
  <c r="X186" i="9"/>
  <c r="Y186" i="9" s="1"/>
  <c r="AA186" i="9" s="1"/>
  <c r="X187" i="9"/>
  <c r="Y187" i="9" s="1"/>
  <c r="AA187" i="9" s="1"/>
  <c r="X188" i="9"/>
  <c r="Y188" i="9" s="1"/>
  <c r="AB188" i="9" s="1"/>
  <c r="X189" i="9"/>
  <c r="X190" i="9"/>
  <c r="Y190" i="9" s="1"/>
  <c r="X191" i="9"/>
  <c r="Y191" i="9" s="1"/>
  <c r="X192" i="9"/>
  <c r="Y192" i="9" s="1"/>
  <c r="X193" i="9"/>
  <c r="Y193" i="9" s="1"/>
  <c r="AB193" i="9" s="1"/>
  <c r="X194" i="9"/>
  <c r="Y194" i="9" s="1"/>
  <c r="X183" i="9"/>
  <c r="Y183" i="9" s="1"/>
  <c r="X172" i="9"/>
  <c r="Y172" i="9" s="1"/>
  <c r="AB172" i="9" s="1"/>
  <c r="X173" i="9"/>
  <c r="Y173" i="9" s="1"/>
  <c r="X174" i="9"/>
  <c r="Y174" i="9" s="1"/>
  <c r="X175" i="9"/>
  <c r="Y175" i="9" s="1"/>
  <c r="X176" i="9"/>
  <c r="Y176" i="9" s="1"/>
  <c r="X177" i="9"/>
  <c r="Y177" i="9" s="1"/>
  <c r="AB177" i="9" s="1"/>
  <c r="X178" i="9"/>
  <c r="Y178" i="9" s="1"/>
  <c r="X179" i="9"/>
  <c r="Y179" i="9" s="1"/>
  <c r="X180" i="9"/>
  <c r="Y180" i="9" s="1"/>
  <c r="AB180" i="9" s="1"/>
  <c r="X181" i="9"/>
  <c r="Y181" i="9" s="1"/>
  <c r="X182" i="9"/>
  <c r="Y182" i="9" s="1"/>
  <c r="X171" i="9"/>
  <c r="Y171" i="9" s="1"/>
  <c r="X160" i="9"/>
  <c r="Y160" i="9" s="1"/>
  <c r="X161" i="9"/>
  <c r="Y161" i="9" s="1"/>
  <c r="AB161" i="9" s="1"/>
  <c r="X162" i="9"/>
  <c r="Y162" i="9" s="1"/>
  <c r="AA162" i="9" s="1"/>
  <c r="X163" i="9"/>
  <c r="Y163" i="9" s="1"/>
  <c r="AA163" i="9" s="1"/>
  <c r="X164" i="9"/>
  <c r="Y164" i="9" s="1"/>
  <c r="AB164" i="9" s="1"/>
  <c r="X165" i="9"/>
  <c r="Y165" i="9" s="1"/>
  <c r="X166" i="9"/>
  <c r="Y166" i="9" s="1"/>
  <c r="X167" i="9"/>
  <c r="Y167" i="9" s="1"/>
  <c r="X168" i="9"/>
  <c r="Y168" i="9" s="1"/>
  <c r="X169" i="9"/>
  <c r="Y169" i="9" s="1"/>
  <c r="X170" i="9"/>
  <c r="Y170" i="9" s="1"/>
  <c r="X159" i="9"/>
  <c r="Y159" i="9" s="1"/>
  <c r="X148" i="9"/>
  <c r="Y148" i="9" s="1"/>
  <c r="X149" i="9"/>
  <c r="Y149" i="9" s="1"/>
  <c r="X150" i="9"/>
  <c r="Y150" i="9" s="1"/>
  <c r="X151" i="9"/>
  <c r="Y151" i="9" s="1"/>
  <c r="X152" i="9"/>
  <c r="Y152" i="9" s="1"/>
  <c r="X153" i="9"/>
  <c r="Y153" i="9" s="1"/>
  <c r="X154" i="9"/>
  <c r="Y154" i="9" s="1"/>
  <c r="X155" i="9"/>
  <c r="Y155" i="9" s="1"/>
  <c r="AA155" i="9" s="1"/>
  <c r="X156" i="9"/>
  <c r="Y156" i="9" s="1"/>
  <c r="X157" i="9"/>
  <c r="Y157" i="9" s="1"/>
  <c r="X158" i="9"/>
  <c r="Y158" i="9" s="1"/>
  <c r="X147" i="9"/>
  <c r="Y147" i="9" s="1"/>
  <c r="X136" i="9"/>
  <c r="Y136" i="9" s="1"/>
  <c r="X137" i="9"/>
  <c r="Y137" i="9" s="1"/>
  <c r="X138" i="9"/>
  <c r="Y138" i="9" s="1"/>
  <c r="X139" i="9"/>
  <c r="Y139" i="9" s="1"/>
  <c r="AA139" i="9" s="1"/>
  <c r="X140" i="9"/>
  <c r="Y140" i="9" s="1"/>
  <c r="X141" i="9"/>
  <c r="Y141" i="9" s="1"/>
  <c r="X142" i="9"/>
  <c r="Y142" i="9" s="1"/>
  <c r="X143" i="9"/>
  <c r="Y143" i="9" s="1"/>
  <c r="X144" i="9"/>
  <c r="Y144" i="9" s="1"/>
  <c r="AA144" i="9" s="1"/>
  <c r="X145" i="9"/>
  <c r="Y145" i="9" s="1"/>
  <c r="AB145" i="9" s="1"/>
  <c r="X146" i="9"/>
  <c r="Y146" i="9" s="1"/>
  <c r="X135" i="9"/>
  <c r="Y135" i="9" s="1"/>
  <c r="X124" i="9"/>
  <c r="Y124" i="9" s="1"/>
  <c r="X125" i="9"/>
  <c r="Y125" i="9" s="1"/>
  <c r="X126" i="9"/>
  <c r="X127" i="9"/>
  <c r="Y127" i="9" s="1"/>
  <c r="X128" i="9"/>
  <c r="Y128" i="9" s="1"/>
  <c r="X129" i="9"/>
  <c r="Y129" i="9" s="1"/>
  <c r="AB129" i="9" s="1"/>
  <c r="X130" i="9"/>
  <c r="Y130" i="9" s="1"/>
  <c r="X131" i="9"/>
  <c r="Y131" i="9" s="1"/>
  <c r="X132" i="9"/>
  <c r="Y132" i="9" s="1"/>
  <c r="X133" i="9"/>
  <c r="Y133" i="9" s="1"/>
  <c r="X134" i="9"/>
  <c r="Y134" i="9" s="1"/>
  <c r="X123" i="9"/>
  <c r="Y123" i="9" s="1"/>
  <c r="X112" i="9"/>
  <c r="Y112" i="9" s="1"/>
  <c r="X113" i="9"/>
  <c r="Y113" i="9" s="1"/>
  <c r="AB113" i="9" s="1"/>
  <c r="X114" i="9"/>
  <c r="Y114" i="9" s="1"/>
  <c r="X115" i="9"/>
  <c r="Y115" i="9" s="1"/>
  <c r="X116" i="9"/>
  <c r="Y116" i="9" s="1"/>
  <c r="X117" i="9"/>
  <c r="Y117" i="9" s="1"/>
  <c r="X118" i="9"/>
  <c r="Y118" i="9" s="1"/>
  <c r="X119" i="9"/>
  <c r="Y119" i="9" s="1"/>
  <c r="X120" i="9"/>
  <c r="Y120" i="9" s="1"/>
  <c r="AA120" i="9" s="1"/>
  <c r="X121" i="9"/>
  <c r="Y121" i="9" s="1"/>
  <c r="X122" i="9"/>
  <c r="Y122" i="9" s="1"/>
  <c r="AA122" i="9" s="1"/>
  <c r="X111" i="9"/>
  <c r="Y111" i="9" s="1"/>
  <c r="X100" i="9"/>
  <c r="Y100" i="9" s="1"/>
  <c r="X101" i="9"/>
  <c r="Y101" i="9" s="1"/>
  <c r="X102" i="9"/>
  <c r="X103" i="9"/>
  <c r="Y103" i="9" s="1"/>
  <c r="X104" i="9"/>
  <c r="Y104" i="9" s="1"/>
  <c r="X105" i="9"/>
  <c r="Y105" i="9" s="1"/>
  <c r="X106" i="9"/>
  <c r="Y106" i="9" s="1"/>
  <c r="X107" i="9"/>
  <c r="Y107" i="9" s="1"/>
  <c r="AB107" i="9" s="1"/>
  <c r="X108" i="9"/>
  <c r="Y108" i="9" s="1"/>
  <c r="X109" i="9"/>
  <c r="Y109" i="9" s="1"/>
  <c r="X110" i="9"/>
  <c r="X99" i="9"/>
  <c r="Y99" i="9" s="1"/>
  <c r="AA99" i="9" s="1"/>
  <c r="X88" i="9"/>
  <c r="Y88" i="9" s="1"/>
  <c r="X89" i="9"/>
  <c r="Y89" i="9" s="1"/>
  <c r="X90" i="9"/>
  <c r="Y90" i="9" s="1"/>
  <c r="X91" i="9"/>
  <c r="Y91" i="9" s="1"/>
  <c r="X92" i="9"/>
  <c r="Y92" i="9" s="1"/>
  <c r="X93" i="9"/>
  <c r="Y93" i="9" s="1"/>
  <c r="X94" i="9"/>
  <c r="Y94" i="9" s="1"/>
  <c r="X95" i="9"/>
  <c r="Y95" i="9" s="1"/>
  <c r="X96" i="9"/>
  <c r="Y96" i="9" s="1"/>
  <c r="X97" i="9"/>
  <c r="Y97" i="9" s="1"/>
  <c r="AB97" i="9" s="1"/>
  <c r="X98" i="9"/>
  <c r="Y98" i="9" s="1"/>
  <c r="AA98" i="9" s="1"/>
  <c r="X87" i="9"/>
  <c r="Y87" i="9" s="1"/>
  <c r="X76" i="9"/>
  <c r="Y76" i="9" s="1"/>
  <c r="X77" i="9"/>
  <c r="Y77" i="9" s="1"/>
  <c r="X78" i="9"/>
  <c r="Y78" i="9" s="1"/>
  <c r="X79" i="9"/>
  <c r="Y79" i="9" s="1"/>
  <c r="X80" i="9"/>
  <c r="Y80" i="9" s="1"/>
  <c r="X81" i="9"/>
  <c r="Y81" i="9" s="1"/>
  <c r="X82" i="9"/>
  <c r="Y82" i="9" s="1"/>
  <c r="X83" i="9"/>
  <c r="Y83" i="9" s="1"/>
  <c r="X84" i="9"/>
  <c r="Y84" i="9" s="1"/>
  <c r="X85" i="9"/>
  <c r="X86" i="9"/>
  <c r="Y86" i="9" s="1"/>
  <c r="X75" i="9"/>
  <c r="Y75" i="9" s="1"/>
  <c r="X64" i="9"/>
  <c r="Y64" i="9" s="1"/>
  <c r="X65" i="9"/>
  <c r="Y65" i="9" s="1"/>
  <c r="AB65" i="9" s="1"/>
  <c r="X66" i="9"/>
  <c r="Y66" i="9" s="1"/>
  <c r="X67" i="9"/>
  <c r="Y67" i="9" s="1"/>
  <c r="AB67" i="9" s="1"/>
  <c r="X68" i="9"/>
  <c r="Y68" i="9" s="1"/>
  <c r="X69" i="9"/>
  <c r="Y69" i="9" s="1"/>
  <c r="X70" i="9"/>
  <c r="Y70" i="9" s="1"/>
  <c r="X71" i="9"/>
  <c r="Y71" i="9" s="1"/>
  <c r="X72" i="9"/>
  <c r="Y72" i="9" s="1"/>
  <c r="X73" i="9"/>
  <c r="Y73" i="9" s="1"/>
  <c r="X74" i="9"/>
  <c r="Y74" i="9" s="1"/>
  <c r="AA74" i="9" s="1"/>
  <c r="X63" i="9"/>
  <c r="Y63" i="9" s="1"/>
  <c r="X52" i="9"/>
  <c r="Y52" i="9" s="1"/>
  <c r="X53" i="9"/>
  <c r="Y53" i="9" s="1"/>
  <c r="X54" i="9"/>
  <c r="Y54" i="9" s="1"/>
  <c r="X55" i="9"/>
  <c r="Y55" i="9" s="1"/>
  <c r="X56" i="9"/>
  <c r="Y56" i="9" s="1"/>
  <c r="X57" i="9"/>
  <c r="Y57" i="9" s="1"/>
  <c r="X58" i="9"/>
  <c r="Y58" i="9" s="1"/>
  <c r="X59" i="9"/>
  <c r="Y59" i="9" s="1"/>
  <c r="X60" i="9"/>
  <c r="Y60" i="9" s="1"/>
  <c r="X61" i="9"/>
  <c r="Y61" i="9" s="1"/>
  <c r="X62" i="9"/>
  <c r="Y62" i="9" s="1"/>
  <c r="X51" i="9"/>
  <c r="Y51" i="9" s="1"/>
  <c r="X40" i="9"/>
  <c r="Y40" i="9" s="1"/>
  <c r="X41" i="9"/>
  <c r="Y41" i="9" s="1"/>
  <c r="X42" i="9"/>
  <c r="Y42" i="9" s="1"/>
  <c r="AA42" i="9" s="1"/>
  <c r="X43" i="9"/>
  <c r="Y43" i="9" s="1"/>
  <c r="X44" i="9"/>
  <c r="Y44" i="9" s="1"/>
  <c r="X45" i="9"/>
  <c r="Y45" i="9" s="1"/>
  <c r="X46" i="9"/>
  <c r="Y46" i="9" s="1"/>
  <c r="X47" i="9"/>
  <c r="Y47" i="9" s="1"/>
  <c r="X48" i="9"/>
  <c r="Y48" i="9" s="1"/>
  <c r="X49" i="9"/>
  <c r="Y49" i="9" s="1"/>
  <c r="AB49" i="9" s="1"/>
  <c r="X50" i="9"/>
  <c r="Y50" i="9" s="1"/>
  <c r="X39" i="9"/>
  <c r="Y39" i="9" s="1"/>
  <c r="X28" i="9"/>
  <c r="Y28" i="9" s="1"/>
  <c r="X29" i="9"/>
  <c r="Y29" i="9" s="1"/>
  <c r="X30" i="9"/>
  <c r="Y30" i="9" s="1"/>
  <c r="X31" i="9"/>
  <c r="Y31" i="9" s="1"/>
  <c r="X32" i="9"/>
  <c r="Y32" i="9" s="1"/>
  <c r="X33" i="9"/>
  <c r="Y33" i="9" s="1"/>
  <c r="AB33" i="9" s="1"/>
  <c r="X34" i="9"/>
  <c r="Y34" i="9" s="1"/>
  <c r="X35" i="9"/>
  <c r="Y35" i="9" s="1"/>
  <c r="X36" i="9"/>
  <c r="Y36" i="9" s="1"/>
  <c r="X37" i="9"/>
  <c r="Y37" i="9" s="1"/>
  <c r="X38" i="9"/>
  <c r="Y38" i="9" s="1"/>
  <c r="X16" i="9"/>
  <c r="Y16" i="9" s="1"/>
  <c r="X17" i="9"/>
  <c r="Y17" i="9" s="1"/>
  <c r="X18" i="9"/>
  <c r="Y18" i="9" s="1"/>
  <c r="X19" i="9"/>
  <c r="Y19" i="9" s="1"/>
  <c r="X20" i="9"/>
  <c r="Y20" i="9" s="1"/>
  <c r="X21" i="9"/>
  <c r="Y21" i="9" s="1"/>
  <c r="X22" i="9"/>
  <c r="Y22" i="9" s="1"/>
  <c r="X23" i="9"/>
  <c r="Y23" i="9" s="1"/>
  <c r="X24" i="9"/>
  <c r="Y24" i="9" s="1"/>
  <c r="X25" i="9"/>
  <c r="Y25" i="9" s="1"/>
  <c r="X26" i="9"/>
  <c r="Y26" i="9" s="1"/>
  <c r="X15" i="9"/>
  <c r="Y15" i="9" s="1"/>
  <c r="X27" i="9"/>
  <c r="Y27" i="9" s="1"/>
  <c r="AB27" i="9" s="1"/>
  <c r="M207" i="9"/>
  <c r="M195" i="9"/>
  <c r="M183" i="9"/>
  <c r="M171" i="9"/>
  <c r="M159" i="9"/>
  <c r="M147" i="9"/>
  <c r="M135" i="9"/>
  <c r="M123" i="9"/>
  <c r="M111" i="9"/>
  <c r="M99" i="9"/>
  <c r="M87" i="9"/>
  <c r="M75" i="9"/>
  <c r="M63" i="9"/>
  <c r="M51" i="9"/>
  <c r="M39" i="9"/>
  <c r="M27" i="9"/>
  <c r="M15" i="9"/>
  <c r="M3" i="9"/>
  <c r="X12" i="9" s="1"/>
  <c r="Y12" i="9" s="1"/>
  <c r="P222" i="9"/>
  <c r="Q4" i="9"/>
  <c r="S4" i="9" s="1"/>
  <c r="T4" i="9" s="1"/>
  <c r="Q5" i="9"/>
  <c r="S5" i="9" s="1"/>
  <c r="T5" i="9" s="1"/>
  <c r="Q6" i="9"/>
  <c r="S6" i="9" s="1"/>
  <c r="Q7" i="9"/>
  <c r="S7" i="9" s="1"/>
  <c r="T7" i="9" s="1"/>
  <c r="Q8" i="9"/>
  <c r="S8" i="9" s="1"/>
  <c r="T8" i="9" s="1"/>
  <c r="Q9" i="9"/>
  <c r="S9" i="9" s="1"/>
  <c r="Q10" i="9"/>
  <c r="S10" i="9" s="1"/>
  <c r="Q11" i="9"/>
  <c r="S11" i="9" s="1"/>
  <c r="T11" i="9" s="1"/>
  <c r="Q12" i="9"/>
  <c r="S12" i="9" s="1"/>
  <c r="T12" i="9" s="1"/>
  <c r="Q13" i="9"/>
  <c r="S13" i="9" s="1"/>
  <c r="T13" i="9" s="1"/>
  <c r="Q14" i="9"/>
  <c r="S14" i="9" s="1"/>
  <c r="Q15" i="9"/>
  <c r="S15" i="9" s="1"/>
  <c r="T15" i="9" s="1"/>
  <c r="Q16" i="9"/>
  <c r="S16" i="9" s="1"/>
  <c r="T16" i="9" s="1"/>
  <c r="Q17" i="9"/>
  <c r="S17" i="9" s="1"/>
  <c r="Q18" i="9"/>
  <c r="S18" i="9" s="1"/>
  <c r="Q19" i="9"/>
  <c r="S19" i="9" s="1"/>
  <c r="T19" i="9" s="1"/>
  <c r="Q20" i="9"/>
  <c r="S20" i="9" s="1"/>
  <c r="T20" i="9" s="1"/>
  <c r="Q21" i="9"/>
  <c r="S21" i="9" s="1"/>
  <c r="T21" i="9" s="1"/>
  <c r="Q22" i="9"/>
  <c r="S22" i="9" s="1"/>
  <c r="Q23" i="9"/>
  <c r="S23" i="9" s="1"/>
  <c r="T23" i="9" s="1"/>
  <c r="Q24" i="9"/>
  <c r="S24" i="9" s="1"/>
  <c r="T24" i="9" s="1"/>
  <c r="Q25" i="9"/>
  <c r="S25" i="9" s="1"/>
  <c r="Q26" i="9"/>
  <c r="S26" i="9" s="1"/>
  <c r="Q27" i="9"/>
  <c r="S27" i="9" s="1"/>
  <c r="T27" i="9" s="1"/>
  <c r="Q28" i="9"/>
  <c r="S28" i="9" s="1"/>
  <c r="T28" i="9" s="1"/>
  <c r="Q29" i="9"/>
  <c r="S29" i="9" s="1"/>
  <c r="T29" i="9" s="1"/>
  <c r="Q30" i="9"/>
  <c r="S30" i="9" s="1"/>
  <c r="Q31" i="9"/>
  <c r="S31" i="9" s="1"/>
  <c r="T31" i="9" s="1"/>
  <c r="Q32" i="9"/>
  <c r="S32" i="9" s="1"/>
  <c r="T32" i="9" s="1"/>
  <c r="Q33" i="9"/>
  <c r="S33" i="9" s="1"/>
  <c r="Q34" i="9"/>
  <c r="S34" i="9" s="1"/>
  <c r="Q35" i="9"/>
  <c r="S35" i="9" s="1"/>
  <c r="T35" i="9" s="1"/>
  <c r="Q36" i="9"/>
  <c r="S36" i="9" s="1"/>
  <c r="T36" i="9" s="1"/>
  <c r="Q37" i="9"/>
  <c r="S37" i="9" s="1"/>
  <c r="T37" i="9" s="1"/>
  <c r="Q38" i="9"/>
  <c r="S38" i="9" s="1"/>
  <c r="Q39" i="9"/>
  <c r="S39" i="9" s="1"/>
  <c r="T39" i="9" s="1"/>
  <c r="Q40" i="9"/>
  <c r="S40" i="9" s="1"/>
  <c r="T40" i="9" s="1"/>
  <c r="Q41" i="9"/>
  <c r="S41" i="9" s="1"/>
  <c r="Q42" i="9"/>
  <c r="S42" i="9" s="1"/>
  <c r="Q43" i="9"/>
  <c r="S43" i="9" s="1"/>
  <c r="T43" i="9" s="1"/>
  <c r="Q44" i="9"/>
  <c r="S44" i="9" s="1"/>
  <c r="T44" i="9" s="1"/>
  <c r="Q45" i="9"/>
  <c r="S45" i="9" s="1"/>
  <c r="T45" i="9" s="1"/>
  <c r="Q46" i="9"/>
  <c r="S46" i="9" s="1"/>
  <c r="Q47" i="9"/>
  <c r="S47" i="9" s="1"/>
  <c r="T47" i="9" s="1"/>
  <c r="Q48" i="9"/>
  <c r="S48" i="9" s="1"/>
  <c r="T48" i="9" s="1"/>
  <c r="Q49" i="9"/>
  <c r="S49" i="9" s="1"/>
  <c r="Q50" i="9"/>
  <c r="S50" i="9" s="1"/>
  <c r="Q51" i="9"/>
  <c r="S51" i="9" s="1"/>
  <c r="T51" i="9" s="1"/>
  <c r="Q52" i="9"/>
  <c r="S52" i="9" s="1"/>
  <c r="T52" i="9" s="1"/>
  <c r="Q53" i="9"/>
  <c r="S53" i="9" s="1"/>
  <c r="T53" i="9" s="1"/>
  <c r="Q54" i="9"/>
  <c r="S54" i="9" s="1"/>
  <c r="Q55" i="9"/>
  <c r="S55" i="9" s="1"/>
  <c r="T55" i="9" s="1"/>
  <c r="Q56" i="9"/>
  <c r="S56" i="9" s="1"/>
  <c r="T56" i="9" s="1"/>
  <c r="Q57" i="9"/>
  <c r="S57" i="9" s="1"/>
  <c r="Q58" i="9"/>
  <c r="S58" i="9" s="1"/>
  <c r="Q59" i="9"/>
  <c r="S59" i="9" s="1"/>
  <c r="T59" i="9" s="1"/>
  <c r="Q60" i="9"/>
  <c r="S60" i="9" s="1"/>
  <c r="T60" i="9" s="1"/>
  <c r="Q61" i="9"/>
  <c r="S61" i="9" s="1"/>
  <c r="T61" i="9" s="1"/>
  <c r="Q62" i="9"/>
  <c r="S62" i="9" s="1"/>
  <c r="Q63" i="9"/>
  <c r="S63" i="9" s="1"/>
  <c r="T63" i="9" s="1"/>
  <c r="Q64" i="9"/>
  <c r="S64" i="9" s="1"/>
  <c r="T64" i="9" s="1"/>
  <c r="Q65" i="9"/>
  <c r="S65" i="9" s="1"/>
  <c r="Q66" i="9"/>
  <c r="S66" i="9" s="1"/>
  <c r="Q67" i="9"/>
  <c r="S67" i="9" s="1"/>
  <c r="T67" i="9" s="1"/>
  <c r="Q68" i="9"/>
  <c r="S68" i="9" s="1"/>
  <c r="T68" i="9" s="1"/>
  <c r="Q69" i="9"/>
  <c r="S69" i="9" s="1"/>
  <c r="T69" i="9" s="1"/>
  <c r="Q70" i="9"/>
  <c r="S70" i="9" s="1"/>
  <c r="Q71" i="9"/>
  <c r="S71" i="9" s="1"/>
  <c r="T71" i="9" s="1"/>
  <c r="Q72" i="9"/>
  <c r="S72" i="9" s="1"/>
  <c r="T72" i="9" s="1"/>
  <c r="Q73" i="9"/>
  <c r="S73" i="9" s="1"/>
  <c r="Q74" i="9"/>
  <c r="S74" i="9" s="1"/>
  <c r="Q75" i="9"/>
  <c r="S75" i="9" s="1"/>
  <c r="T75" i="9" s="1"/>
  <c r="Q76" i="9"/>
  <c r="S76" i="9" s="1"/>
  <c r="T76" i="9" s="1"/>
  <c r="Q77" i="9"/>
  <c r="S77" i="9" s="1"/>
  <c r="T77" i="9" s="1"/>
  <c r="Q78" i="9"/>
  <c r="S78" i="9" s="1"/>
  <c r="Q79" i="9"/>
  <c r="S79" i="9" s="1"/>
  <c r="T79" i="9" s="1"/>
  <c r="Q80" i="9"/>
  <c r="S80" i="9" s="1"/>
  <c r="T80" i="9" s="1"/>
  <c r="Q81" i="9"/>
  <c r="S81" i="9" s="1"/>
  <c r="Q82" i="9"/>
  <c r="S82" i="9" s="1"/>
  <c r="Q83" i="9"/>
  <c r="S83" i="9" s="1"/>
  <c r="T83" i="9" s="1"/>
  <c r="Q84" i="9"/>
  <c r="S84" i="9" s="1"/>
  <c r="T84" i="9" s="1"/>
  <c r="Q85" i="9"/>
  <c r="S85" i="9" s="1"/>
  <c r="T85" i="9" s="1"/>
  <c r="Q86" i="9"/>
  <c r="S86" i="9" s="1"/>
  <c r="Q87" i="9"/>
  <c r="S87" i="9" s="1"/>
  <c r="T87" i="9" s="1"/>
  <c r="Q88" i="9"/>
  <c r="S88" i="9" s="1"/>
  <c r="T88" i="9" s="1"/>
  <c r="Q89" i="9"/>
  <c r="S89" i="9" s="1"/>
  <c r="Q90" i="9"/>
  <c r="S90" i="9" s="1"/>
  <c r="Q91" i="9"/>
  <c r="S91" i="9" s="1"/>
  <c r="T91" i="9" s="1"/>
  <c r="Q92" i="9"/>
  <c r="S92" i="9" s="1"/>
  <c r="T92" i="9" s="1"/>
  <c r="Q93" i="9"/>
  <c r="S93" i="9" s="1"/>
  <c r="T93" i="9" s="1"/>
  <c r="Q94" i="9"/>
  <c r="S94" i="9" s="1"/>
  <c r="Q95" i="9"/>
  <c r="S95" i="9" s="1"/>
  <c r="T95" i="9" s="1"/>
  <c r="Q96" i="9"/>
  <c r="S96" i="9" s="1"/>
  <c r="T96" i="9" s="1"/>
  <c r="Q97" i="9"/>
  <c r="S97" i="9" s="1"/>
  <c r="Q98" i="9"/>
  <c r="S98" i="9" s="1"/>
  <c r="Q99" i="9"/>
  <c r="S99" i="9" s="1"/>
  <c r="T99" i="9" s="1"/>
  <c r="Q100" i="9"/>
  <c r="S100" i="9" s="1"/>
  <c r="T100" i="9" s="1"/>
  <c r="Q101" i="9"/>
  <c r="S101" i="9" s="1"/>
  <c r="T101" i="9" s="1"/>
  <c r="Q102" i="9"/>
  <c r="S102" i="9" s="1"/>
  <c r="Q103" i="9"/>
  <c r="S103" i="9" s="1"/>
  <c r="T103" i="9" s="1"/>
  <c r="Q104" i="9"/>
  <c r="S104" i="9" s="1"/>
  <c r="T104" i="9" s="1"/>
  <c r="Q105" i="9"/>
  <c r="S105" i="9" s="1"/>
  <c r="Q106" i="9"/>
  <c r="S106" i="9" s="1"/>
  <c r="Q107" i="9"/>
  <c r="S107" i="9" s="1"/>
  <c r="T107" i="9" s="1"/>
  <c r="Q108" i="9"/>
  <c r="S108" i="9" s="1"/>
  <c r="T108" i="9" s="1"/>
  <c r="Q109" i="9"/>
  <c r="S109" i="9" s="1"/>
  <c r="T109" i="9" s="1"/>
  <c r="Q110" i="9"/>
  <c r="S110" i="9" s="1"/>
  <c r="Q111" i="9"/>
  <c r="S111" i="9" s="1"/>
  <c r="T111" i="9" s="1"/>
  <c r="Q112" i="9"/>
  <c r="S112" i="9" s="1"/>
  <c r="T112" i="9" s="1"/>
  <c r="Q113" i="9"/>
  <c r="S113" i="9" s="1"/>
  <c r="Q114" i="9"/>
  <c r="S114" i="9" s="1"/>
  <c r="Q115" i="9"/>
  <c r="S115" i="9" s="1"/>
  <c r="T115" i="9" s="1"/>
  <c r="Q116" i="9"/>
  <c r="S116" i="9" s="1"/>
  <c r="T116" i="9" s="1"/>
  <c r="Q117" i="9"/>
  <c r="S117" i="9" s="1"/>
  <c r="T117" i="9" s="1"/>
  <c r="Q118" i="9"/>
  <c r="S118" i="9" s="1"/>
  <c r="Q119" i="9"/>
  <c r="S119" i="9" s="1"/>
  <c r="T119" i="9" s="1"/>
  <c r="Q120" i="9"/>
  <c r="S120" i="9" s="1"/>
  <c r="T120" i="9" s="1"/>
  <c r="Q121" i="9"/>
  <c r="S121" i="9" s="1"/>
  <c r="Q122" i="9"/>
  <c r="S122" i="9" s="1"/>
  <c r="Q123" i="9"/>
  <c r="S123" i="9" s="1"/>
  <c r="T123" i="9" s="1"/>
  <c r="Q124" i="9"/>
  <c r="S124" i="9" s="1"/>
  <c r="T124" i="9" s="1"/>
  <c r="Q125" i="9"/>
  <c r="S125" i="9" s="1"/>
  <c r="T125" i="9" s="1"/>
  <c r="Q126" i="9"/>
  <c r="S126" i="9" s="1"/>
  <c r="Q127" i="9"/>
  <c r="S127" i="9" s="1"/>
  <c r="T127" i="9" s="1"/>
  <c r="Q128" i="9"/>
  <c r="S128" i="9" s="1"/>
  <c r="T128" i="9" s="1"/>
  <c r="Q129" i="9"/>
  <c r="S129" i="9" s="1"/>
  <c r="Q130" i="9"/>
  <c r="S130" i="9" s="1"/>
  <c r="Q131" i="9"/>
  <c r="S131" i="9" s="1"/>
  <c r="T131" i="9" s="1"/>
  <c r="Q132" i="9"/>
  <c r="S132" i="9" s="1"/>
  <c r="T132" i="9" s="1"/>
  <c r="Q133" i="9"/>
  <c r="S133" i="9" s="1"/>
  <c r="T133" i="9" s="1"/>
  <c r="Q134" i="9"/>
  <c r="S134" i="9" s="1"/>
  <c r="Q135" i="9"/>
  <c r="S135" i="9" s="1"/>
  <c r="T135" i="9" s="1"/>
  <c r="Q136" i="9"/>
  <c r="S136" i="9" s="1"/>
  <c r="T136" i="9" s="1"/>
  <c r="Q137" i="9"/>
  <c r="S137" i="9" s="1"/>
  <c r="Q138" i="9"/>
  <c r="S138" i="9" s="1"/>
  <c r="Q139" i="9"/>
  <c r="S139" i="9" s="1"/>
  <c r="T139" i="9" s="1"/>
  <c r="Q140" i="9"/>
  <c r="S140" i="9" s="1"/>
  <c r="T140" i="9" s="1"/>
  <c r="Q141" i="9"/>
  <c r="S141" i="9" s="1"/>
  <c r="T141" i="9" s="1"/>
  <c r="Q142" i="9"/>
  <c r="S142" i="9" s="1"/>
  <c r="Q143" i="9"/>
  <c r="S143" i="9" s="1"/>
  <c r="T143" i="9" s="1"/>
  <c r="Q144" i="9"/>
  <c r="S144" i="9" s="1"/>
  <c r="T144" i="9" s="1"/>
  <c r="Q145" i="9"/>
  <c r="S145" i="9" s="1"/>
  <c r="Q146" i="9"/>
  <c r="S146" i="9" s="1"/>
  <c r="Q147" i="9"/>
  <c r="S147" i="9" s="1"/>
  <c r="T147" i="9" s="1"/>
  <c r="Q148" i="9"/>
  <c r="S148" i="9" s="1"/>
  <c r="T148" i="9" s="1"/>
  <c r="Q149" i="9"/>
  <c r="S149" i="9" s="1"/>
  <c r="T149" i="9" s="1"/>
  <c r="Q150" i="9"/>
  <c r="S150" i="9" s="1"/>
  <c r="Q151" i="9"/>
  <c r="S151" i="9" s="1"/>
  <c r="T151" i="9" s="1"/>
  <c r="Q152" i="9"/>
  <c r="S152" i="9" s="1"/>
  <c r="T152" i="9" s="1"/>
  <c r="Q153" i="9"/>
  <c r="S153" i="9" s="1"/>
  <c r="Q154" i="9"/>
  <c r="S154" i="9" s="1"/>
  <c r="Q155" i="9"/>
  <c r="S155" i="9" s="1"/>
  <c r="T155" i="9" s="1"/>
  <c r="Q156" i="9"/>
  <c r="S156" i="9" s="1"/>
  <c r="T156" i="9" s="1"/>
  <c r="Q157" i="9"/>
  <c r="S157" i="9" s="1"/>
  <c r="T157" i="9" s="1"/>
  <c r="Q158" i="9"/>
  <c r="S158" i="9" s="1"/>
  <c r="Q159" i="9"/>
  <c r="S159" i="9" s="1"/>
  <c r="T159" i="9" s="1"/>
  <c r="Q160" i="9"/>
  <c r="S160" i="9" s="1"/>
  <c r="T160" i="9" s="1"/>
  <c r="Q161" i="9"/>
  <c r="S161" i="9" s="1"/>
  <c r="Q162" i="9"/>
  <c r="S162" i="9" s="1"/>
  <c r="Q163" i="9"/>
  <c r="S163" i="9" s="1"/>
  <c r="T163" i="9" s="1"/>
  <c r="Q164" i="9"/>
  <c r="S164" i="9" s="1"/>
  <c r="T164" i="9" s="1"/>
  <c r="Q165" i="9"/>
  <c r="S165" i="9" s="1"/>
  <c r="T165" i="9" s="1"/>
  <c r="Q166" i="9"/>
  <c r="S166" i="9" s="1"/>
  <c r="Q167" i="9"/>
  <c r="S167" i="9" s="1"/>
  <c r="T167" i="9" s="1"/>
  <c r="Q168" i="9"/>
  <c r="S168" i="9" s="1"/>
  <c r="T168" i="9" s="1"/>
  <c r="Q169" i="9"/>
  <c r="S169" i="9" s="1"/>
  <c r="Q170" i="9"/>
  <c r="S170" i="9" s="1"/>
  <c r="Q171" i="9"/>
  <c r="S171" i="9" s="1"/>
  <c r="T171" i="9" s="1"/>
  <c r="Q172" i="9"/>
  <c r="S172" i="9" s="1"/>
  <c r="T172" i="9" s="1"/>
  <c r="Q173" i="9"/>
  <c r="S173" i="9" s="1"/>
  <c r="T173" i="9" s="1"/>
  <c r="Q174" i="9"/>
  <c r="S174" i="9" s="1"/>
  <c r="Q175" i="9"/>
  <c r="S175" i="9" s="1"/>
  <c r="T175" i="9" s="1"/>
  <c r="Q176" i="9"/>
  <c r="S176" i="9" s="1"/>
  <c r="T176" i="9" s="1"/>
  <c r="Q177" i="9"/>
  <c r="S177" i="9" s="1"/>
  <c r="Q178" i="9"/>
  <c r="S178" i="9" s="1"/>
  <c r="Q179" i="9"/>
  <c r="S179" i="9" s="1"/>
  <c r="T179" i="9" s="1"/>
  <c r="Q180" i="9"/>
  <c r="S180" i="9" s="1"/>
  <c r="T180" i="9" s="1"/>
  <c r="Q181" i="9"/>
  <c r="S181" i="9" s="1"/>
  <c r="T181" i="9" s="1"/>
  <c r="Q182" i="9"/>
  <c r="S182" i="9" s="1"/>
  <c r="Q183" i="9"/>
  <c r="S183" i="9" s="1"/>
  <c r="T183" i="9" s="1"/>
  <c r="Q184" i="9"/>
  <c r="S184" i="9" s="1"/>
  <c r="T184" i="9" s="1"/>
  <c r="Q185" i="9"/>
  <c r="S185" i="9" s="1"/>
  <c r="Q186" i="9"/>
  <c r="S186" i="9" s="1"/>
  <c r="Q187" i="9"/>
  <c r="S187" i="9" s="1"/>
  <c r="T187" i="9" s="1"/>
  <c r="Q188" i="9"/>
  <c r="S188" i="9" s="1"/>
  <c r="T188" i="9" s="1"/>
  <c r="Q189" i="9"/>
  <c r="S189" i="9" s="1"/>
  <c r="T189" i="9" s="1"/>
  <c r="Q190" i="9"/>
  <c r="S190" i="9" s="1"/>
  <c r="Q191" i="9"/>
  <c r="S191" i="9" s="1"/>
  <c r="T191" i="9" s="1"/>
  <c r="Q192" i="9"/>
  <c r="S192" i="9" s="1"/>
  <c r="T192" i="9" s="1"/>
  <c r="Q193" i="9"/>
  <c r="S193" i="9" s="1"/>
  <c r="Q194" i="9"/>
  <c r="S194" i="9" s="1"/>
  <c r="Q195" i="9"/>
  <c r="S195" i="9" s="1"/>
  <c r="T195" i="9" s="1"/>
  <c r="Q196" i="9"/>
  <c r="S196" i="9" s="1"/>
  <c r="T196" i="9" s="1"/>
  <c r="Q197" i="9"/>
  <c r="S197" i="9" s="1"/>
  <c r="T197" i="9" s="1"/>
  <c r="Q198" i="9"/>
  <c r="S198" i="9" s="1"/>
  <c r="Q199" i="9"/>
  <c r="S199" i="9" s="1"/>
  <c r="T199" i="9" s="1"/>
  <c r="Q200" i="9"/>
  <c r="S200" i="9" s="1"/>
  <c r="T200" i="9" s="1"/>
  <c r="Q201" i="9"/>
  <c r="S201" i="9" s="1"/>
  <c r="Q202" i="9"/>
  <c r="S202" i="9" s="1"/>
  <c r="Q203" i="9"/>
  <c r="S203" i="9" s="1"/>
  <c r="T203" i="9" s="1"/>
  <c r="Q204" i="9"/>
  <c r="S204" i="9" s="1"/>
  <c r="T204" i="9" s="1"/>
  <c r="Q205" i="9"/>
  <c r="S205" i="9" s="1"/>
  <c r="T205" i="9" s="1"/>
  <c r="Q206" i="9"/>
  <c r="S206" i="9" s="1"/>
  <c r="Q207" i="9"/>
  <c r="S207" i="9" s="1"/>
  <c r="T207" i="9" s="1"/>
  <c r="Q208" i="9"/>
  <c r="S208" i="9" s="1"/>
  <c r="T208" i="9" s="1"/>
  <c r="Q209" i="9"/>
  <c r="S209" i="9" s="1"/>
  <c r="Q210" i="9"/>
  <c r="S210" i="9" s="1"/>
  <c r="Q211" i="9"/>
  <c r="S211" i="9" s="1"/>
  <c r="T211" i="9" s="1"/>
  <c r="Q212" i="9"/>
  <c r="S212" i="9" s="1"/>
  <c r="T212" i="9" s="1"/>
  <c r="Q213" i="9"/>
  <c r="S213" i="9" s="1"/>
  <c r="T213" i="9" s="1"/>
  <c r="Q214" i="9"/>
  <c r="S214" i="9" s="1"/>
  <c r="Q215" i="9"/>
  <c r="S215" i="9" s="1"/>
  <c r="T215" i="9" s="1"/>
  <c r="Q216" i="9"/>
  <c r="S216" i="9" s="1"/>
  <c r="T216" i="9" s="1"/>
  <c r="Q217" i="9"/>
  <c r="S217" i="9" s="1"/>
  <c r="Q218" i="9"/>
  <c r="S218" i="9" s="1"/>
  <c r="Q3" i="9"/>
  <c r="S3" i="9" s="1"/>
  <c r="T3" i="9" s="1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I3" i="9"/>
  <c r="J3" i="9" s="1"/>
  <c r="K145" i="9" s="1"/>
  <c r="E3" i="9"/>
  <c r="F3" i="9" s="1"/>
  <c r="G39" i="9" s="1"/>
  <c r="L58" i="11" l="1"/>
  <c r="L42" i="11"/>
  <c r="M64" i="11"/>
  <c r="M40" i="11"/>
  <c r="L71" i="11"/>
  <c r="L63" i="11"/>
  <c r="L55" i="11"/>
  <c r="L47" i="11"/>
  <c r="L39" i="11"/>
  <c r="L31" i="11"/>
  <c r="L23" i="11"/>
  <c r="L15" i="11"/>
  <c r="L7" i="11"/>
  <c r="L10" i="11"/>
  <c r="M31" i="11"/>
  <c r="L70" i="11"/>
  <c r="L62" i="11"/>
  <c r="L54" i="11"/>
  <c r="L46" i="11"/>
  <c r="L38" i="11"/>
  <c r="L30" i="11"/>
  <c r="L22" i="11"/>
  <c r="L14" i="11"/>
  <c r="L6" i="11"/>
  <c r="M23" i="11"/>
  <c r="M24" i="11"/>
  <c r="N69" i="11"/>
  <c r="N61" i="11"/>
  <c r="N53" i="11"/>
  <c r="N45" i="11"/>
  <c r="N37" i="11"/>
  <c r="N29" i="11"/>
  <c r="N21" i="11"/>
  <c r="N13" i="11"/>
  <c r="N5" i="11"/>
  <c r="M63" i="11"/>
  <c r="M56" i="11"/>
  <c r="M32" i="11"/>
  <c r="L26" i="11"/>
  <c r="L60" i="11"/>
  <c r="L36" i="11"/>
  <c r="L12" i="11"/>
  <c r="N15" i="11"/>
  <c r="L67" i="11"/>
  <c r="L59" i="11"/>
  <c r="L51" i="11"/>
  <c r="L43" i="11"/>
  <c r="L35" i="11"/>
  <c r="L27" i="11"/>
  <c r="L19" i="11"/>
  <c r="L11" i="11"/>
  <c r="M47" i="11"/>
  <c r="M15" i="11"/>
  <c r="M48" i="11"/>
  <c r="H8" i="11"/>
  <c r="L52" i="11"/>
  <c r="L28" i="11"/>
  <c r="M39" i="11"/>
  <c r="N7" i="11"/>
  <c r="M72" i="11"/>
  <c r="M16" i="11"/>
  <c r="L68" i="11"/>
  <c r="L44" i="11"/>
  <c r="L20" i="11"/>
  <c r="H4" i="11"/>
  <c r="N35" i="11"/>
  <c r="L74" i="11"/>
  <c r="M74" i="11"/>
  <c r="M62" i="11"/>
  <c r="N59" i="11"/>
  <c r="N43" i="11"/>
  <c r="M30" i="11"/>
  <c r="M14" i="11"/>
  <c r="M46" i="11"/>
  <c r="N71" i="11"/>
  <c r="N55" i="11"/>
  <c r="M42" i="11"/>
  <c r="N27" i="11"/>
  <c r="N11" i="11"/>
  <c r="M71" i="11"/>
  <c r="M55" i="11"/>
  <c r="N39" i="11"/>
  <c r="N23" i="11"/>
  <c r="M10" i="11"/>
  <c r="M70" i="11"/>
  <c r="M54" i="11"/>
  <c r="M38" i="11"/>
  <c r="M22" i="11"/>
  <c r="M7" i="11"/>
  <c r="N63" i="11"/>
  <c r="N47" i="11"/>
  <c r="M6" i="11"/>
  <c r="L3" i="11"/>
  <c r="M3" i="11"/>
  <c r="N3" i="11"/>
  <c r="M66" i="11"/>
  <c r="L66" i="11"/>
  <c r="N66" i="11"/>
  <c r="M50" i="11"/>
  <c r="L50" i="11"/>
  <c r="N50" i="11"/>
  <c r="M34" i="11"/>
  <c r="L34" i="11"/>
  <c r="N34" i="11"/>
  <c r="L18" i="11"/>
  <c r="N18" i="11"/>
  <c r="M18" i="11"/>
  <c r="L73" i="11"/>
  <c r="M73" i="11"/>
  <c r="N73" i="11"/>
  <c r="L65" i="11"/>
  <c r="M65" i="11"/>
  <c r="N65" i="11"/>
  <c r="L57" i="11"/>
  <c r="M57" i="11"/>
  <c r="N57" i="11"/>
  <c r="L49" i="11"/>
  <c r="M49" i="11"/>
  <c r="N49" i="11"/>
  <c r="L41" i="11"/>
  <c r="M41" i="11"/>
  <c r="N41" i="11"/>
  <c r="M33" i="11"/>
  <c r="N33" i="11"/>
  <c r="L33" i="11"/>
  <c r="M25" i="11"/>
  <c r="N25" i="11"/>
  <c r="L25" i="11"/>
  <c r="M17" i="11"/>
  <c r="N17" i="11"/>
  <c r="L17" i="11"/>
  <c r="M9" i="11"/>
  <c r="N9" i="11"/>
  <c r="L9" i="11"/>
  <c r="L53" i="11"/>
  <c r="L45" i="11"/>
  <c r="L37" i="11"/>
  <c r="M26" i="11"/>
  <c r="L21" i="11"/>
  <c r="L5" i="11"/>
  <c r="N74" i="11"/>
  <c r="L72" i="11"/>
  <c r="M69" i="11"/>
  <c r="L64" i="11"/>
  <c r="M61" i="11"/>
  <c r="N58" i="11"/>
  <c r="L56" i="11"/>
  <c r="M53" i="11"/>
  <c r="L48" i="11"/>
  <c r="M45" i="11"/>
  <c r="N42" i="11"/>
  <c r="L40" i="11"/>
  <c r="M37" i="11"/>
  <c r="L32" i="11"/>
  <c r="M29" i="11"/>
  <c r="N26" i="11"/>
  <c r="L24" i="11"/>
  <c r="M21" i="11"/>
  <c r="L16" i="11"/>
  <c r="M13" i="11"/>
  <c r="N10" i="11"/>
  <c r="M5" i="11"/>
  <c r="M58" i="11"/>
  <c r="N44" i="11"/>
  <c r="N36" i="11"/>
  <c r="M68" i="11"/>
  <c r="M60" i="11"/>
  <c r="M52" i="11"/>
  <c r="M44" i="11"/>
  <c r="M36" i="11"/>
  <c r="M28" i="11"/>
  <c r="M20" i="11"/>
  <c r="M12" i="11"/>
  <c r="N68" i="11"/>
  <c r="N60" i="11"/>
  <c r="N52" i="11"/>
  <c r="N28" i="11"/>
  <c r="N20" i="11"/>
  <c r="N12" i="11"/>
  <c r="N70" i="11"/>
  <c r="N62" i="11"/>
  <c r="N54" i="11"/>
  <c r="N46" i="11"/>
  <c r="N38" i="11"/>
  <c r="N30" i="11"/>
  <c r="N22" i="11"/>
  <c r="N14" i="11"/>
  <c r="N6" i="11"/>
  <c r="L13" i="11"/>
  <c r="N72" i="11"/>
  <c r="M67" i="11"/>
  <c r="N64" i="11"/>
  <c r="M59" i="11"/>
  <c r="N56" i="11"/>
  <c r="M51" i="11"/>
  <c r="N48" i="11"/>
  <c r="M43" i="11"/>
  <c r="N40" i="11"/>
  <c r="M35" i="11"/>
  <c r="N32" i="11"/>
  <c r="M27" i="11"/>
  <c r="N24" i="11"/>
  <c r="M19" i="11"/>
  <c r="N16" i="11"/>
  <c r="M11" i="11"/>
  <c r="L69" i="11"/>
  <c r="L61" i="11"/>
  <c r="L29" i="11"/>
  <c r="Z78" i="9"/>
  <c r="Z206" i="9"/>
  <c r="Z130" i="9"/>
  <c r="Z101" i="9"/>
  <c r="Z100" i="9"/>
  <c r="AB51" i="9"/>
  <c r="Z143" i="9"/>
  <c r="Z179" i="9"/>
  <c r="Z51" i="9"/>
  <c r="AB204" i="9"/>
  <c r="AB131" i="9"/>
  <c r="AA131" i="9"/>
  <c r="AB179" i="9"/>
  <c r="AA179" i="9"/>
  <c r="Z216" i="9"/>
  <c r="Z168" i="9"/>
  <c r="Z136" i="9"/>
  <c r="Z96" i="9"/>
  <c r="Z64" i="9"/>
  <c r="Z32" i="9"/>
  <c r="Z16" i="9"/>
  <c r="Z207" i="9"/>
  <c r="Z191" i="9"/>
  <c r="Z175" i="9"/>
  <c r="Z167" i="9"/>
  <c r="Z159" i="9"/>
  <c r="Z135" i="9"/>
  <c r="Z127" i="9"/>
  <c r="Z119" i="9"/>
  <c r="Z111" i="9"/>
  <c r="Z103" i="9"/>
  <c r="Z95" i="9"/>
  <c r="Z87" i="9"/>
  <c r="Z79" i="9"/>
  <c r="Z71" i="9"/>
  <c r="Z63" i="9"/>
  <c r="Z55" i="9"/>
  <c r="Z47" i="9"/>
  <c r="Z39" i="9"/>
  <c r="Z31" i="9"/>
  <c r="Z23" i="9"/>
  <c r="AA35" i="9"/>
  <c r="AB35" i="9"/>
  <c r="AB83" i="9"/>
  <c r="AB115" i="9"/>
  <c r="AA115" i="9"/>
  <c r="AB211" i="9"/>
  <c r="Z208" i="9"/>
  <c r="Z160" i="9"/>
  <c r="Z120" i="9"/>
  <c r="Z72" i="9"/>
  <c r="Z48" i="9"/>
  <c r="Z180" i="9"/>
  <c r="Z215" i="9"/>
  <c r="Z199" i="9"/>
  <c r="Z183" i="9"/>
  <c r="Z151" i="9"/>
  <c r="Z190" i="9"/>
  <c r="Z158" i="9"/>
  <c r="Z150" i="9"/>
  <c r="Z110" i="9"/>
  <c r="Z102" i="9"/>
  <c r="Z86" i="9"/>
  <c r="Z70" i="9"/>
  <c r="Z54" i="9"/>
  <c r="Z22" i="9"/>
  <c r="AA211" i="9"/>
  <c r="Z174" i="9"/>
  <c r="Z142" i="9"/>
  <c r="Z46" i="9"/>
  <c r="Z200" i="9"/>
  <c r="Z152" i="9"/>
  <c r="Z112" i="9"/>
  <c r="Z56" i="9"/>
  <c r="Z205" i="9"/>
  <c r="Z173" i="9"/>
  <c r="Z149" i="9"/>
  <c r="Z212" i="9"/>
  <c r="Z204" i="9"/>
  <c r="Z196" i="9"/>
  <c r="Z188" i="9"/>
  <c r="Z172" i="9"/>
  <c r="Z164" i="9"/>
  <c r="Z156" i="9"/>
  <c r="Z148" i="9"/>
  <c r="Z140" i="9"/>
  <c r="Z132" i="9"/>
  <c r="Z124" i="9"/>
  <c r="Z116" i="9"/>
  <c r="Z108" i="9"/>
  <c r="Z92" i="9"/>
  <c r="Z84" i="9"/>
  <c r="Z198" i="9"/>
  <c r="Z166" i="9"/>
  <c r="Z134" i="9"/>
  <c r="Z38" i="9"/>
  <c r="Z192" i="9"/>
  <c r="Z144" i="9"/>
  <c r="Z104" i="9"/>
  <c r="Z40" i="9"/>
  <c r="Z125" i="9"/>
  <c r="Z85" i="9"/>
  <c r="Z69" i="9"/>
  <c r="Z45" i="9"/>
  <c r="Z37" i="9"/>
  <c r="AB139" i="9"/>
  <c r="Z176" i="9"/>
  <c r="Z128" i="9"/>
  <c r="Z80" i="9"/>
  <c r="Z24" i="9"/>
  <c r="Z213" i="9"/>
  <c r="Z189" i="9"/>
  <c r="Z133" i="9"/>
  <c r="Z77" i="9"/>
  <c r="Z53" i="9"/>
  <c r="AB81" i="9"/>
  <c r="AA81" i="9"/>
  <c r="Z218" i="9"/>
  <c r="Z210" i="9"/>
  <c r="Z194" i="9"/>
  <c r="Z186" i="9"/>
  <c r="Z178" i="9"/>
  <c r="Z162" i="9"/>
  <c r="Z154" i="9"/>
  <c r="Z146" i="9"/>
  <c r="Z122" i="9"/>
  <c r="Z114" i="9"/>
  <c r="Z90" i="9"/>
  <c r="Z82" i="9"/>
  <c r="Z74" i="9"/>
  <c r="Z58" i="9"/>
  <c r="Z50" i="9"/>
  <c r="Z42" i="9"/>
  <c r="AA83" i="9"/>
  <c r="Z126" i="9"/>
  <c r="AB42" i="9"/>
  <c r="Z30" i="9"/>
  <c r="Z184" i="9"/>
  <c r="Z88" i="9"/>
  <c r="Z197" i="9"/>
  <c r="Z157" i="9"/>
  <c r="Z109" i="9"/>
  <c r="Z217" i="9"/>
  <c r="Z209" i="9"/>
  <c r="Z201" i="9"/>
  <c r="Z193" i="9"/>
  <c r="Z185" i="9"/>
  <c r="Z177" i="9"/>
  <c r="Z169" i="9"/>
  <c r="Z161" i="9"/>
  <c r="Z153" i="9"/>
  <c r="Z145" i="9"/>
  <c r="AB203" i="9"/>
  <c r="Z202" i="9"/>
  <c r="Z170" i="9"/>
  <c r="Z138" i="9"/>
  <c r="Z106" i="9"/>
  <c r="AA145" i="9"/>
  <c r="Z26" i="9"/>
  <c r="Z18" i="9"/>
  <c r="AB147" i="9"/>
  <c r="AB195" i="9"/>
  <c r="Z137" i="9"/>
  <c r="Z129" i="9"/>
  <c r="Z121" i="9"/>
  <c r="Z113" i="9"/>
  <c r="Z105" i="9"/>
  <c r="Z97" i="9"/>
  <c r="Z89" i="9"/>
  <c r="Z81" i="9"/>
  <c r="Z73" i="9"/>
  <c r="Z65" i="9"/>
  <c r="Z57" i="9"/>
  <c r="Z49" i="9"/>
  <c r="Z41" i="9"/>
  <c r="Z33" i="9"/>
  <c r="Z25" i="9"/>
  <c r="AA209" i="9"/>
  <c r="Z211" i="9"/>
  <c r="Z203" i="9"/>
  <c r="Z187" i="9"/>
  <c r="Z171" i="9"/>
  <c r="Z163" i="9"/>
  <c r="Z155" i="9"/>
  <c r="Z139" i="9"/>
  <c r="Z131" i="9"/>
  <c r="Z123" i="9"/>
  <c r="Z115" i="9"/>
  <c r="Z107" i="9"/>
  <c r="Z91" i="9"/>
  <c r="Z83" i="9"/>
  <c r="Z75" i="9"/>
  <c r="Z67" i="9"/>
  <c r="Z59" i="9"/>
  <c r="Z43" i="9"/>
  <c r="Z35" i="9"/>
  <c r="Z27" i="9"/>
  <c r="AB12" i="9"/>
  <c r="AA12" i="9"/>
  <c r="AA19" i="9"/>
  <c r="AB19" i="9"/>
  <c r="AA48" i="9"/>
  <c r="AB48" i="9"/>
  <c r="AA72" i="9"/>
  <c r="AB72" i="9"/>
  <c r="AA96" i="9"/>
  <c r="AB96" i="9"/>
  <c r="AA112" i="9"/>
  <c r="AB112" i="9"/>
  <c r="AA152" i="9"/>
  <c r="AB152" i="9"/>
  <c r="AA176" i="9"/>
  <c r="AB176" i="9"/>
  <c r="AA200" i="9"/>
  <c r="AB200" i="9"/>
  <c r="AA142" i="9"/>
  <c r="AB142" i="9"/>
  <c r="AA94" i="9"/>
  <c r="AB94" i="9"/>
  <c r="AA24" i="9"/>
  <c r="AB24" i="9"/>
  <c r="AA31" i="9"/>
  <c r="AB31" i="9"/>
  <c r="AA47" i="9"/>
  <c r="AB47" i="9"/>
  <c r="AA55" i="9"/>
  <c r="AB55" i="9"/>
  <c r="AA95" i="9"/>
  <c r="AB95" i="9"/>
  <c r="AA103" i="9"/>
  <c r="AB103" i="9"/>
  <c r="AA119" i="9"/>
  <c r="AB119" i="9"/>
  <c r="AA127" i="9"/>
  <c r="AB127" i="9"/>
  <c r="AA143" i="9"/>
  <c r="AB143" i="9"/>
  <c r="AA151" i="9"/>
  <c r="AB151" i="9"/>
  <c r="AA167" i="9"/>
  <c r="AB167" i="9"/>
  <c r="AB171" i="9"/>
  <c r="AA171" i="9"/>
  <c r="AA175" i="9"/>
  <c r="AB175" i="9"/>
  <c r="AA191" i="9"/>
  <c r="AB191" i="9"/>
  <c r="AA199" i="9"/>
  <c r="AB199" i="9"/>
  <c r="AA214" i="9"/>
  <c r="AB214" i="9"/>
  <c r="AA198" i="9"/>
  <c r="AB198" i="9"/>
  <c r="AB181" i="9"/>
  <c r="AA181" i="9"/>
  <c r="AB141" i="9"/>
  <c r="AA141" i="9"/>
  <c r="AB117" i="9"/>
  <c r="AA117" i="9"/>
  <c r="AB93" i="9"/>
  <c r="AA93" i="9"/>
  <c r="AB61" i="9"/>
  <c r="AA61" i="9"/>
  <c r="AB28" i="9"/>
  <c r="AA28" i="9"/>
  <c r="Z214" i="9"/>
  <c r="Z182" i="9"/>
  <c r="Z118" i="9"/>
  <c r="Z94" i="9"/>
  <c r="Z62" i="9"/>
  <c r="X13" i="9"/>
  <c r="Y13" i="9" s="1"/>
  <c r="AA23" i="9"/>
  <c r="AB23" i="9"/>
  <c r="AA30" i="9"/>
  <c r="AB30" i="9"/>
  <c r="AB213" i="9"/>
  <c r="AA213" i="9"/>
  <c r="AB197" i="9"/>
  <c r="AA197" i="9"/>
  <c r="AA86" i="9"/>
  <c r="AB86" i="9"/>
  <c r="AA54" i="9"/>
  <c r="AB54" i="9"/>
  <c r="AA195" i="9"/>
  <c r="AA67" i="9"/>
  <c r="AB208" i="9"/>
  <c r="AB122" i="9"/>
  <c r="AA32" i="9"/>
  <c r="AB32" i="9"/>
  <c r="AA64" i="9"/>
  <c r="AB64" i="9"/>
  <c r="AA136" i="9"/>
  <c r="AB136" i="9"/>
  <c r="AA182" i="9"/>
  <c r="AB182" i="9"/>
  <c r="AA75" i="9"/>
  <c r="AB75" i="9"/>
  <c r="Z181" i="9"/>
  <c r="Z165" i="9"/>
  <c r="Z141" i="9"/>
  <c r="Z117" i="9"/>
  <c r="Z93" i="9"/>
  <c r="Z61" i="9"/>
  <c r="Z29" i="9"/>
  <c r="Z21" i="9"/>
  <c r="AB212" i="9"/>
  <c r="AA212" i="9"/>
  <c r="AA158" i="9"/>
  <c r="AB158" i="9"/>
  <c r="AA134" i="9"/>
  <c r="AB134" i="9"/>
  <c r="AA110" i="9"/>
  <c r="AB110" i="9"/>
  <c r="AB85" i="9"/>
  <c r="AA85" i="9"/>
  <c r="AB53" i="9"/>
  <c r="AA53" i="9"/>
  <c r="AA193" i="9"/>
  <c r="AA129" i="9"/>
  <c r="AA65" i="9"/>
  <c r="AB120" i="9"/>
  <c r="Z98" i="9"/>
  <c r="X3" i="9"/>
  <c r="Y3" i="9" s="1"/>
  <c r="X5" i="9"/>
  <c r="Y5" i="9" s="1"/>
  <c r="AB17" i="9"/>
  <c r="AA17" i="9"/>
  <c r="AA56" i="9"/>
  <c r="AB56" i="9"/>
  <c r="AA88" i="9"/>
  <c r="AB88" i="9"/>
  <c r="AA128" i="9"/>
  <c r="AB128" i="9"/>
  <c r="AA168" i="9"/>
  <c r="AB168" i="9"/>
  <c r="AA192" i="9"/>
  <c r="AB192" i="9"/>
  <c r="AA216" i="9"/>
  <c r="AB216" i="9"/>
  <c r="AB165" i="9"/>
  <c r="AA165" i="9"/>
  <c r="AA62" i="9"/>
  <c r="AB62" i="9"/>
  <c r="AA71" i="9"/>
  <c r="AB71" i="9"/>
  <c r="X4" i="9"/>
  <c r="Y4" i="9" s="1"/>
  <c r="Z4" i="9" s="1"/>
  <c r="AA21" i="9"/>
  <c r="AB21" i="9"/>
  <c r="AB36" i="9"/>
  <c r="AA36" i="9"/>
  <c r="AB44" i="9"/>
  <c r="AA44" i="9"/>
  <c r="AB60" i="9"/>
  <c r="AA60" i="9"/>
  <c r="AB52" i="9"/>
  <c r="AA52" i="9"/>
  <c r="AB68" i="9"/>
  <c r="AA68" i="9"/>
  <c r="AB84" i="9"/>
  <c r="AA84" i="9"/>
  <c r="AB76" i="9"/>
  <c r="AA76" i="9"/>
  <c r="AB92" i="9"/>
  <c r="AA92" i="9"/>
  <c r="AB108" i="9"/>
  <c r="AA108" i="9"/>
  <c r="AB100" i="9"/>
  <c r="AA100" i="9"/>
  <c r="AB116" i="9"/>
  <c r="AA116" i="9"/>
  <c r="AB132" i="9"/>
  <c r="AA132" i="9"/>
  <c r="AB124" i="9"/>
  <c r="AA124" i="9"/>
  <c r="AB140" i="9"/>
  <c r="AA140" i="9"/>
  <c r="AB156" i="9"/>
  <c r="AA156" i="9"/>
  <c r="AB148" i="9"/>
  <c r="AA148" i="9"/>
  <c r="AA190" i="9"/>
  <c r="AB190" i="9"/>
  <c r="AA174" i="9"/>
  <c r="AB174" i="9"/>
  <c r="AB157" i="9"/>
  <c r="AA157" i="9"/>
  <c r="AB133" i="9"/>
  <c r="AA133" i="9"/>
  <c r="AB109" i="9"/>
  <c r="AA109" i="9"/>
  <c r="AA78" i="9"/>
  <c r="AB78" i="9"/>
  <c r="AA46" i="9"/>
  <c r="AB46" i="9"/>
  <c r="AB20" i="9"/>
  <c r="AA20" i="9"/>
  <c r="AA51" i="9"/>
  <c r="AB186" i="9"/>
  <c r="AB99" i="9"/>
  <c r="AB25" i="9"/>
  <c r="AA25" i="9"/>
  <c r="AA40" i="9"/>
  <c r="AB40" i="9"/>
  <c r="AA80" i="9"/>
  <c r="AB80" i="9"/>
  <c r="AA104" i="9"/>
  <c r="AB104" i="9"/>
  <c r="AA160" i="9"/>
  <c r="AB160" i="9"/>
  <c r="AA118" i="9"/>
  <c r="AB118" i="9"/>
  <c r="AA29" i="9"/>
  <c r="AB29" i="9"/>
  <c r="AB144" i="9"/>
  <c r="Z15" i="9"/>
  <c r="AA16" i="9"/>
  <c r="AB16" i="9"/>
  <c r="AA79" i="9"/>
  <c r="AB79" i="9"/>
  <c r="AA123" i="9"/>
  <c r="AB123" i="9"/>
  <c r="AA215" i="9"/>
  <c r="AB215" i="9"/>
  <c r="Z3" i="9"/>
  <c r="Z195" i="9"/>
  <c r="Z147" i="9"/>
  <c r="Z99" i="9"/>
  <c r="Z19" i="9"/>
  <c r="AA39" i="9"/>
  <c r="AB39" i="9"/>
  <c r="AA43" i="9"/>
  <c r="AB43" i="9"/>
  <c r="AA59" i="9"/>
  <c r="AB59" i="9"/>
  <c r="AA63" i="9"/>
  <c r="AB63" i="9"/>
  <c r="AA87" i="9"/>
  <c r="AB87" i="9"/>
  <c r="AA91" i="9"/>
  <c r="AB91" i="9"/>
  <c r="AA111" i="9"/>
  <c r="AB111" i="9"/>
  <c r="AA135" i="9"/>
  <c r="AB135" i="9"/>
  <c r="AA159" i="9"/>
  <c r="AB159" i="9"/>
  <c r="AA183" i="9"/>
  <c r="AB183" i="9"/>
  <c r="AA207" i="9"/>
  <c r="AB207" i="9"/>
  <c r="AA206" i="9"/>
  <c r="AB206" i="9"/>
  <c r="AB189" i="9"/>
  <c r="AA189" i="9"/>
  <c r="AB173" i="9"/>
  <c r="AA173" i="9"/>
  <c r="AB77" i="9"/>
  <c r="AA77" i="9"/>
  <c r="AB45" i="9"/>
  <c r="AA45" i="9"/>
  <c r="AA177" i="9"/>
  <c r="AA113" i="9"/>
  <c r="AA49" i="9"/>
  <c r="AB184" i="9"/>
  <c r="AB98" i="9"/>
  <c r="Z66" i="9"/>
  <c r="AA15" i="9"/>
  <c r="AB15" i="9"/>
  <c r="AA34" i="9"/>
  <c r="AB34" i="9"/>
  <c r="AA50" i="9"/>
  <c r="AB50" i="9"/>
  <c r="AA58" i="9"/>
  <c r="AB58" i="9"/>
  <c r="AA66" i="9"/>
  <c r="AB66" i="9"/>
  <c r="AA82" i="9"/>
  <c r="AB82" i="9"/>
  <c r="AA90" i="9"/>
  <c r="AB90" i="9"/>
  <c r="AA106" i="9"/>
  <c r="AB106" i="9"/>
  <c r="AA114" i="9"/>
  <c r="AB114" i="9"/>
  <c r="AA130" i="9"/>
  <c r="AB130" i="9"/>
  <c r="AA146" i="9"/>
  <c r="AB146" i="9"/>
  <c r="AA138" i="9"/>
  <c r="AB138" i="9"/>
  <c r="AA154" i="9"/>
  <c r="AB154" i="9"/>
  <c r="AA170" i="9"/>
  <c r="AB170" i="9"/>
  <c r="AA178" i="9"/>
  <c r="AB178" i="9"/>
  <c r="AA194" i="9"/>
  <c r="AB194" i="9"/>
  <c r="AA202" i="9"/>
  <c r="AB202" i="9"/>
  <c r="AA218" i="9"/>
  <c r="AB218" i="9"/>
  <c r="AA210" i="9"/>
  <c r="AB210" i="9"/>
  <c r="AB205" i="9"/>
  <c r="AA205" i="9"/>
  <c r="AA150" i="9"/>
  <c r="AB150" i="9"/>
  <c r="AA126" i="9"/>
  <c r="AB126" i="9"/>
  <c r="AA102" i="9"/>
  <c r="AB102" i="9"/>
  <c r="AA70" i="9"/>
  <c r="AB70" i="9"/>
  <c r="AA38" i="9"/>
  <c r="AB38" i="9"/>
  <c r="AB74" i="9"/>
  <c r="Z17" i="9"/>
  <c r="AA26" i="9"/>
  <c r="AB26" i="9"/>
  <c r="AA18" i="9"/>
  <c r="AB18" i="9"/>
  <c r="AB41" i="9"/>
  <c r="AA41" i="9"/>
  <c r="AB57" i="9"/>
  <c r="AA57" i="9"/>
  <c r="AB73" i="9"/>
  <c r="AA73" i="9"/>
  <c r="AB89" i="9"/>
  <c r="AA89" i="9"/>
  <c r="AB105" i="9"/>
  <c r="AA105" i="9"/>
  <c r="AB121" i="9"/>
  <c r="AA121" i="9"/>
  <c r="AB137" i="9"/>
  <c r="AA137" i="9"/>
  <c r="AB153" i="9"/>
  <c r="AA153" i="9"/>
  <c r="AB169" i="9"/>
  <c r="AA169" i="9"/>
  <c r="AB185" i="9"/>
  <c r="AA185" i="9"/>
  <c r="AB201" i="9"/>
  <c r="AA201" i="9"/>
  <c r="AB217" i="9"/>
  <c r="AA217" i="9"/>
  <c r="AA166" i="9"/>
  <c r="AB166" i="9"/>
  <c r="AB149" i="9"/>
  <c r="AA149" i="9"/>
  <c r="AB125" i="9"/>
  <c r="AA125" i="9"/>
  <c r="AB101" i="9"/>
  <c r="AA101" i="9"/>
  <c r="AB69" i="9"/>
  <c r="AA69" i="9"/>
  <c r="AB37" i="9"/>
  <c r="AA37" i="9"/>
  <c r="AA161" i="9"/>
  <c r="AA97" i="9"/>
  <c r="AA33" i="9"/>
  <c r="AB162" i="9"/>
  <c r="Z34" i="9"/>
  <c r="AA196" i="9"/>
  <c r="AA180" i="9"/>
  <c r="AA164" i="9"/>
  <c r="AB187" i="9"/>
  <c r="AA204" i="9"/>
  <c r="AA188" i="9"/>
  <c r="AA172" i="9"/>
  <c r="AA27" i="9"/>
  <c r="AB155" i="9"/>
  <c r="AA107" i="9"/>
  <c r="Z76" i="9"/>
  <c r="Z68" i="9"/>
  <c r="Z60" i="9"/>
  <c r="Z52" i="9"/>
  <c r="Z44" i="9"/>
  <c r="Z36" i="9"/>
  <c r="Z28" i="9"/>
  <c r="Z20" i="9"/>
  <c r="Z12" i="9"/>
  <c r="AA22" i="9"/>
  <c r="AB22" i="9"/>
  <c r="X14" i="9"/>
  <c r="Y14" i="9" s="1"/>
  <c r="X6" i="9"/>
  <c r="Y6" i="9" s="1"/>
  <c r="X11" i="9"/>
  <c r="Y11" i="9" s="1"/>
  <c r="X10" i="9"/>
  <c r="Y10" i="9" s="1"/>
  <c r="X9" i="9"/>
  <c r="Y9" i="9" s="1"/>
  <c r="X8" i="9"/>
  <c r="Y8" i="9" s="1"/>
  <c r="Z8" i="9" s="1"/>
  <c r="X7" i="9"/>
  <c r="Y7" i="9" s="1"/>
  <c r="Z7" i="9" s="1"/>
  <c r="K202" i="9"/>
  <c r="K195" i="9"/>
  <c r="K115" i="9"/>
  <c r="K75" i="9"/>
  <c r="K194" i="9"/>
  <c r="K59" i="9"/>
  <c r="K177" i="9"/>
  <c r="K170" i="9"/>
  <c r="K151" i="9"/>
  <c r="K118" i="9"/>
  <c r="G141" i="9"/>
  <c r="G173" i="9"/>
  <c r="G109" i="9"/>
  <c r="G45" i="9"/>
  <c r="G217" i="9"/>
  <c r="G185" i="9"/>
  <c r="G137" i="9"/>
  <c r="G105" i="9"/>
  <c r="G57" i="9"/>
  <c r="G24" i="9"/>
  <c r="G200" i="9"/>
  <c r="G120" i="9"/>
  <c r="G88" i="9"/>
  <c r="K4" i="9"/>
  <c r="K12" i="9"/>
  <c r="K20" i="9"/>
  <c r="K28" i="9"/>
  <c r="K36" i="9"/>
  <c r="K44" i="9"/>
  <c r="K52" i="9"/>
  <c r="K60" i="9"/>
  <c r="K68" i="9"/>
  <c r="K76" i="9"/>
  <c r="K84" i="9"/>
  <c r="K92" i="9"/>
  <c r="K100" i="9"/>
  <c r="K108" i="9"/>
  <c r="K116" i="9"/>
  <c r="K124" i="9"/>
  <c r="K132" i="9"/>
  <c r="K140" i="9"/>
  <c r="K148" i="9"/>
  <c r="K156" i="9"/>
  <c r="K164" i="9"/>
  <c r="K172" i="9"/>
  <c r="K180" i="9"/>
  <c r="K188" i="9"/>
  <c r="K196" i="9"/>
  <c r="K204" i="9"/>
  <c r="K212" i="9"/>
  <c r="K5" i="9"/>
  <c r="K13" i="9"/>
  <c r="K21" i="9"/>
  <c r="K29" i="9"/>
  <c r="K37" i="9"/>
  <c r="K45" i="9"/>
  <c r="K53" i="9"/>
  <c r="K61" i="9"/>
  <c r="K69" i="9"/>
  <c r="K77" i="9"/>
  <c r="K85" i="9"/>
  <c r="K93" i="9"/>
  <c r="K101" i="9"/>
  <c r="K109" i="9"/>
  <c r="K117" i="9"/>
  <c r="K125" i="9"/>
  <c r="K133" i="9"/>
  <c r="K141" i="9"/>
  <c r="K149" i="9"/>
  <c r="K157" i="9"/>
  <c r="K165" i="9"/>
  <c r="K173" i="9"/>
  <c r="K181" i="9"/>
  <c r="K189" i="9"/>
  <c r="K197" i="9"/>
  <c r="K205" i="9"/>
  <c r="K213" i="9"/>
  <c r="K6" i="9"/>
  <c r="K14" i="9"/>
  <c r="K22" i="9"/>
  <c r="K30" i="9"/>
  <c r="K38" i="9"/>
  <c r="K46" i="9"/>
  <c r="K54" i="9"/>
  <c r="K62" i="9"/>
  <c r="K70" i="9"/>
  <c r="K78" i="9"/>
  <c r="K86" i="9"/>
  <c r="K8" i="9"/>
  <c r="K16" i="9"/>
  <c r="K24" i="9"/>
  <c r="K32" i="9"/>
  <c r="K40" i="9"/>
  <c r="K48" i="9"/>
  <c r="K56" i="9"/>
  <c r="K64" i="9"/>
  <c r="K72" i="9"/>
  <c r="K80" i="9"/>
  <c r="K88" i="9"/>
  <c r="K96" i="9"/>
  <c r="K104" i="9"/>
  <c r="K112" i="9"/>
  <c r="K120" i="9"/>
  <c r="K128" i="9"/>
  <c r="K136" i="9"/>
  <c r="K144" i="9"/>
  <c r="K152" i="9"/>
  <c r="K160" i="9"/>
  <c r="K168" i="9"/>
  <c r="K176" i="9"/>
  <c r="K184" i="9"/>
  <c r="K192" i="9"/>
  <c r="K200" i="9"/>
  <c r="K208" i="9"/>
  <c r="K216" i="9"/>
  <c r="K9" i="9"/>
  <c r="K17" i="9"/>
  <c r="K25" i="9"/>
  <c r="K33" i="9"/>
  <c r="K41" i="9"/>
  <c r="K49" i="9"/>
  <c r="K57" i="9"/>
  <c r="K65" i="9"/>
  <c r="K19" i="9"/>
  <c r="K42" i="9"/>
  <c r="K63" i="9"/>
  <c r="K81" i="9"/>
  <c r="K95" i="9"/>
  <c r="K107" i="9"/>
  <c r="K121" i="9"/>
  <c r="K134" i="9"/>
  <c r="K146" i="9"/>
  <c r="K159" i="9"/>
  <c r="K171" i="9"/>
  <c r="K185" i="9"/>
  <c r="K198" i="9"/>
  <c r="K210" i="9"/>
  <c r="K27" i="9"/>
  <c r="K71" i="9"/>
  <c r="K113" i="9"/>
  <c r="K23" i="9"/>
  <c r="K43" i="9"/>
  <c r="K66" i="9"/>
  <c r="K82" i="9"/>
  <c r="K97" i="9"/>
  <c r="K110" i="9"/>
  <c r="K122" i="9"/>
  <c r="K135" i="9"/>
  <c r="K147" i="9"/>
  <c r="K161" i="9"/>
  <c r="K174" i="9"/>
  <c r="K186" i="9"/>
  <c r="K199" i="9"/>
  <c r="K211" i="9"/>
  <c r="K50" i="9"/>
  <c r="K99" i="9"/>
  <c r="K126" i="9"/>
  <c r="K218" i="9"/>
  <c r="K26" i="9"/>
  <c r="K47" i="9"/>
  <c r="K67" i="9"/>
  <c r="K83" i="9"/>
  <c r="K98" i="9"/>
  <c r="K111" i="9"/>
  <c r="K123" i="9"/>
  <c r="K137" i="9"/>
  <c r="K150" i="9"/>
  <c r="K162" i="9"/>
  <c r="K175" i="9"/>
  <c r="K187" i="9"/>
  <c r="K201" i="9"/>
  <c r="K214" i="9"/>
  <c r="K7" i="9"/>
  <c r="K87" i="9"/>
  <c r="K138" i="9"/>
  <c r="K10" i="9"/>
  <c r="K31" i="9"/>
  <c r="K51" i="9"/>
  <c r="K73" i="9"/>
  <c r="K89" i="9"/>
  <c r="K102" i="9"/>
  <c r="K114" i="9"/>
  <c r="K127" i="9"/>
  <c r="K139" i="9"/>
  <c r="K153" i="9"/>
  <c r="K166" i="9"/>
  <c r="K178" i="9"/>
  <c r="K191" i="9"/>
  <c r="K203" i="9"/>
  <c r="K217" i="9"/>
  <c r="K11" i="9"/>
  <c r="K34" i="9"/>
  <c r="K74" i="9"/>
  <c r="K90" i="9"/>
  <c r="K58" i="9"/>
  <c r="G215" i="9"/>
  <c r="G151" i="9"/>
  <c r="G103" i="9"/>
  <c r="K167" i="9"/>
  <c r="G4" i="9"/>
  <c r="G12" i="9"/>
  <c r="G7" i="9"/>
  <c r="G15" i="9"/>
  <c r="G23" i="9"/>
  <c r="G31" i="9"/>
  <c r="G5" i="9"/>
  <c r="G16" i="9"/>
  <c r="G25" i="9"/>
  <c r="G34" i="9"/>
  <c r="G42" i="9"/>
  <c r="G50" i="9"/>
  <c r="G58" i="9"/>
  <c r="G66" i="9"/>
  <c r="G74" i="9"/>
  <c r="G82" i="9"/>
  <c r="G90" i="9"/>
  <c r="G98" i="9"/>
  <c r="G106" i="9"/>
  <c r="G114" i="9"/>
  <c r="G122" i="9"/>
  <c r="G130" i="9"/>
  <c r="G138" i="9"/>
  <c r="G146" i="9"/>
  <c r="G154" i="9"/>
  <c r="G162" i="9"/>
  <c r="G170" i="9"/>
  <c r="G178" i="9"/>
  <c r="G186" i="9"/>
  <c r="G194" i="9"/>
  <c r="G202" i="9"/>
  <c r="G210" i="9"/>
  <c r="G218" i="9"/>
  <c r="G211" i="9"/>
  <c r="G3" i="9"/>
  <c r="G52" i="9"/>
  <c r="G68" i="9"/>
  <c r="G76" i="9"/>
  <c r="G92" i="9"/>
  <c r="G108" i="9"/>
  <c r="G132" i="9"/>
  <c r="G148" i="9"/>
  <c r="G164" i="9"/>
  <c r="G180" i="9"/>
  <c r="G204" i="9"/>
  <c r="G6" i="9"/>
  <c r="G17" i="9"/>
  <c r="G26" i="9"/>
  <c r="G35" i="9"/>
  <c r="G43" i="9"/>
  <c r="G51" i="9"/>
  <c r="G59" i="9"/>
  <c r="G67" i="9"/>
  <c r="G75" i="9"/>
  <c r="G83" i="9"/>
  <c r="G91" i="9"/>
  <c r="G99" i="9"/>
  <c r="G107" i="9"/>
  <c r="G115" i="9"/>
  <c r="G123" i="9"/>
  <c r="G131" i="9"/>
  <c r="G139" i="9"/>
  <c r="G147" i="9"/>
  <c r="G155" i="9"/>
  <c r="G163" i="9"/>
  <c r="G171" i="9"/>
  <c r="G179" i="9"/>
  <c r="G187" i="9"/>
  <c r="G195" i="9"/>
  <c r="G203" i="9"/>
  <c r="G60" i="9"/>
  <c r="G84" i="9"/>
  <c r="G100" i="9"/>
  <c r="G116" i="9"/>
  <c r="G124" i="9"/>
  <c r="G140" i="9"/>
  <c r="G156" i="9"/>
  <c r="G172" i="9"/>
  <c r="G188" i="9"/>
  <c r="G196" i="9"/>
  <c r="G212" i="9"/>
  <c r="G8" i="9"/>
  <c r="G18" i="9"/>
  <c r="G27" i="9"/>
  <c r="G36" i="9"/>
  <c r="G44" i="9"/>
  <c r="G10" i="9"/>
  <c r="G20" i="9"/>
  <c r="G29" i="9"/>
  <c r="G38" i="9"/>
  <c r="G46" i="9"/>
  <c r="G54" i="9"/>
  <c r="G62" i="9"/>
  <c r="G70" i="9"/>
  <c r="G78" i="9"/>
  <c r="G86" i="9"/>
  <c r="G94" i="9"/>
  <c r="G102" i="9"/>
  <c r="G110" i="9"/>
  <c r="G118" i="9"/>
  <c r="G126" i="9"/>
  <c r="G134" i="9"/>
  <c r="G142" i="9"/>
  <c r="G150" i="9"/>
  <c r="G158" i="9"/>
  <c r="G166" i="9"/>
  <c r="G174" i="9"/>
  <c r="G182" i="9"/>
  <c r="G190" i="9"/>
  <c r="G198" i="9"/>
  <c r="G206" i="9"/>
  <c r="G214" i="9"/>
  <c r="G61" i="9"/>
  <c r="G184" i="9"/>
  <c r="G119" i="9"/>
  <c r="K193" i="9"/>
  <c r="G197" i="9"/>
  <c r="G117" i="9"/>
  <c r="G37" i="9"/>
  <c r="K163" i="9"/>
  <c r="G157" i="9"/>
  <c r="G93" i="9"/>
  <c r="G28" i="9"/>
  <c r="G201" i="9"/>
  <c r="G153" i="9"/>
  <c r="G121" i="9"/>
  <c r="G73" i="9"/>
  <c r="G41" i="9"/>
  <c r="G216" i="9"/>
  <c r="G136" i="9"/>
  <c r="G104" i="9"/>
  <c r="G40" i="9"/>
  <c r="G22" i="9"/>
  <c r="K106" i="9"/>
  <c r="G199" i="9"/>
  <c r="G135" i="9"/>
  <c r="G71" i="9"/>
  <c r="G21" i="9"/>
  <c r="K142" i="9"/>
  <c r="G213" i="9"/>
  <c r="G165" i="9"/>
  <c r="G133" i="9"/>
  <c r="G85" i="9"/>
  <c r="G53" i="9"/>
  <c r="G19" i="9"/>
  <c r="K190" i="9"/>
  <c r="K131" i="9"/>
  <c r="K103" i="9"/>
  <c r="K39" i="9"/>
  <c r="G209" i="9"/>
  <c r="G193" i="9"/>
  <c r="G177" i="9"/>
  <c r="G161" i="9"/>
  <c r="G145" i="9"/>
  <c r="G129" i="9"/>
  <c r="G113" i="9"/>
  <c r="G97" i="9"/>
  <c r="G81" i="9"/>
  <c r="G65" i="9"/>
  <c r="G49" i="9"/>
  <c r="G33" i="9"/>
  <c r="G14" i="9"/>
  <c r="K209" i="9"/>
  <c r="K183" i="9"/>
  <c r="K158" i="9"/>
  <c r="K130" i="9"/>
  <c r="K94" i="9"/>
  <c r="K35" i="9"/>
  <c r="G189" i="9"/>
  <c r="G125" i="9"/>
  <c r="G9" i="9"/>
  <c r="G169" i="9"/>
  <c r="G152" i="9"/>
  <c r="G56" i="9"/>
  <c r="K169" i="9"/>
  <c r="G183" i="9"/>
  <c r="G87" i="9"/>
  <c r="K3" i="9"/>
  <c r="K55" i="9"/>
  <c r="G181" i="9"/>
  <c r="G149" i="9"/>
  <c r="G101" i="9"/>
  <c r="G69" i="9"/>
  <c r="K215" i="9"/>
  <c r="G208" i="9"/>
  <c r="G192" i="9"/>
  <c r="G176" i="9"/>
  <c r="G160" i="9"/>
  <c r="G144" i="9"/>
  <c r="G128" i="9"/>
  <c r="G112" i="9"/>
  <c r="G96" i="9"/>
  <c r="G80" i="9"/>
  <c r="G64" i="9"/>
  <c r="G48" i="9"/>
  <c r="G32" i="9"/>
  <c r="G13" i="9"/>
  <c r="K207" i="9"/>
  <c r="K182" i="9"/>
  <c r="K155" i="9"/>
  <c r="K129" i="9"/>
  <c r="K91" i="9"/>
  <c r="K18" i="9"/>
  <c r="G205" i="9"/>
  <c r="G77" i="9"/>
  <c r="G89" i="9"/>
  <c r="G168" i="9"/>
  <c r="G72" i="9"/>
  <c r="K143" i="9"/>
  <c r="G167" i="9"/>
  <c r="G55" i="9"/>
  <c r="K105" i="9"/>
  <c r="G207" i="9"/>
  <c r="G191" i="9"/>
  <c r="G175" i="9"/>
  <c r="G159" i="9"/>
  <c r="G143" i="9"/>
  <c r="G127" i="9"/>
  <c r="G111" i="9"/>
  <c r="G95" i="9"/>
  <c r="G79" i="9"/>
  <c r="G63" i="9"/>
  <c r="G47" i="9"/>
  <c r="G30" i="9"/>
  <c r="G11" i="9"/>
  <c r="K206" i="9"/>
  <c r="K179" i="9"/>
  <c r="K154" i="9"/>
  <c r="K119" i="9"/>
  <c r="K79" i="9"/>
  <c r="K15" i="9"/>
  <c r="N4" i="11" l="1"/>
  <c r="L8" i="11"/>
  <c r="M8" i="11"/>
  <c r="N8" i="11"/>
  <c r="M4" i="11"/>
  <c r="L4" i="11"/>
  <c r="AA10" i="9"/>
  <c r="AB10" i="9"/>
  <c r="AB11" i="9"/>
  <c r="AA11" i="9"/>
  <c r="Z10" i="9"/>
  <c r="AA6" i="9"/>
  <c r="AB6" i="9"/>
  <c r="Z11" i="9"/>
  <c r="AA13" i="9"/>
  <c r="AB13" i="9"/>
  <c r="AA14" i="9"/>
  <c r="AB14" i="9"/>
  <c r="AA5" i="9"/>
  <c r="AB5" i="9"/>
  <c r="Z6" i="9"/>
  <c r="Z14" i="9"/>
  <c r="AB3" i="9"/>
  <c r="AA3" i="9"/>
  <c r="AA7" i="9"/>
  <c r="AB7" i="9"/>
  <c r="AA8" i="9"/>
  <c r="AB8" i="9"/>
  <c r="AB4" i="9"/>
  <c r="AA4" i="9"/>
  <c r="Z5" i="9"/>
  <c r="AB9" i="9"/>
  <c r="AA9" i="9"/>
  <c r="Z13" i="9"/>
  <c r="Z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Emerson Josué</author>
    <author>Dell Precision 3550</author>
  </authors>
  <commentList>
    <comment ref="B2" authorId="0" shapeId="0" xr:uid="{1DC6C069-6058-4888-802E-71A4010F14F9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Las remesas y exportaciones se pasaron a porcetaje del pib anual, las cuales antes estaban expresadas en millones de dolares
</t>
        </r>
      </text>
    </comment>
    <comment ref="D2" authorId="0" shapeId="0" xr:uid="{2C5D7997-8AB3-4032-832E-B06D422543DA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año base 2000 pero ya ponderado al 2006
</t>
        </r>
      </text>
    </comment>
    <comment ref="F2" authorId="0" shapeId="0" xr:uid="{41B06C20-174B-4174-BD90-B5F15D5E333B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año base 2017=100, ahora ponderado al 2006</t>
        </r>
      </text>
    </comment>
    <comment ref="G2" authorId="0" shapeId="0" xr:uid="{57BAED78-D8C3-43CB-AC43-27D8DA7DBFCD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Suma del pibt no transable incluye otros y sector comercio</t>
        </r>
      </text>
    </comment>
    <comment ref="H2" authorId="0" shapeId="0" xr:uid="{AE8A6D44-0FD1-440F-974A-A4D92EF12FE1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no incluye sector comercio
</t>
        </r>
      </text>
    </comment>
    <comment ref="I2" authorId="0" shapeId="0" xr:uid="{32EFFBDC-295A-443F-87E7-516D1486ACCD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las exportaciones_manufactura es la suma real de la exportaciones de zona franca industrial + exportaciones fob de manofactura real, recuerdese que en el fob no incluye Zona Franca.
Links: https://www.bcn.gob.ni/sites/default/files/estadisticas/sector_externo/comercio_exterior/exportaciones/6-6.htm
https://www.bcn.gob.ni/sites/default/files/estadisticas/sector_real/produccion/1-18.htm
</t>
        </r>
      </text>
    </comment>
    <comment ref="K2" authorId="1" shapeId="0" xr:uid="{0E99E875-0437-4ADE-9432-11D800C6B8C4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Es la suma de todos los sectores menos la manufactura.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Emerson Josué</author>
    <author>Dell Precision 3550</author>
  </authors>
  <commentList>
    <comment ref="B2" authorId="0" shapeId="0" xr:uid="{A6DD33A6-CE92-42DC-B4BB-2994A5C7775D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Las remesas y exportaciones se pasaron a porcetaje del pib anual, las cuales antes estaban expresadas en millones de dolares
</t>
        </r>
      </text>
    </comment>
    <comment ref="D2" authorId="0" shapeId="0" xr:uid="{7E7BAAFF-6DF4-4FB9-ACE2-21A9B61206F2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año base 2000 pero ya ponderado al 2006
</t>
        </r>
      </text>
    </comment>
    <comment ref="F2" authorId="0" shapeId="0" xr:uid="{C9687C61-310C-4F6D-8746-6174E9758330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año base 2017=100, ahora ponderado al 2006</t>
        </r>
      </text>
    </comment>
    <comment ref="H2" authorId="0" shapeId="0" xr:uid="{32C9F4DE-06AD-41FD-9968-6DD6660D9DE6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las exportaciones_manufactura es la suma real de la exportaciones de zona franca industrial + exportaciones fob de manofactura real, recuerdese que en el fob no incluye Zona Franca.
Links: https://www.bcn.gob.ni/sites/default/files/estadisticas/sector_externo/comercio_exterior/exportaciones/6-6.htm
https://www.bcn.gob.ni/sites/default/files/estadisticas/sector_real/produccion/1-18.htm
</t>
        </r>
      </text>
    </comment>
    <comment ref="J2" authorId="1" shapeId="0" xr:uid="{CD26BEEE-FF5A-419C-B239-11C513338DD4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Es la suma de todos los sectores menos la manufactura.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 Precision 3550</author>
  </authors>
  <commentList>
    <comment ref="E2" authorId="0" shapeId="0" xr:uid="{B6D876FA-0A3A-4261-9A7D-DD8C25A44E2D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millones de cordoba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 Precision 3550</author>
  </authors>
  <commentList>
    <comment ref="V2" authorId="0" shapeId="0" xr:uid="{B83ABADA-6780-4404-8DB6-2A7304881A71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No usar no es correcto el metodo, todo lo rojo no se usa.</t>
        </r>
      </text>
    </comment>
    <comment ref="X2" authorId="0" shapeId="0" xr:uid="{DEFFB14D-9E54-4E4B-B9C2-2D7D957E7524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Falso
</t>
        </r>
      </text>
    </comment>
    <comment ref="Y2" authorId="0" shapeId="0" xr:uid="{FD6DEED2-BA30-4DBC-B9B4-7AABA03FD7C7}">
      <text>
        <r>
          <rPr>
            <b/>
            <sz val="9"/>
            <color indexed="81"/>
            <rFont val="Tahoma"/>
            <family val="2"/>
          </rPr>
          <t>Emerson Josué:</t>
        </r>
        <r>
          <rPr>
            <sz val="9"/>
            <color indexed="81"/>
            <rFont val="Tahoma"/>
            <family val="2"/>
          </rPr>
          <t xml:space="preserve">
En millones de dolares
</t>
        </r>
      </text>
    </comment>
  </commentList>
</comments>
</file>

<file path=xl/sharedStrings.xml><?xml version="1.0" encoding="utf-8"?>
<sst xmlns="http://schemas.openxmlformats.org/spreadsheetml/2006/main" count="235" uniqueCount="69">
  <si>
    <t>itcer</t>
  </si>
  <si>
    <t>mes</t>
  </si>
  <si>
    <t>anio</t>
  </si>
  <si>
    <t>iti</t>
  </si>
  <si>
    <t>ipi_eeuu</t>
  </si>
  <si>
    <t>año base anual itcer</t>
  </si>
  <si>
    <t>ipc</t>
  </si>
  <si>
    <t>remesa real</t>
  </si>
  <si>
    <t>imae_manufactura</t>
  </si>
  <si>
    <t>remesas_reales</t>
  </si>
  <si>
    <t>factore itcer</t>
  </si>
  <si>
    <t>itcer año base 2006</t>
  </si>
  <si>
    <t>año</t>
  </si>
  <si>
    <t>año base anual ipi_eeuu</t>
  </si>
  <si>
    <t>factore ipi_eeuu</t>
  </si>
  <si>
    <t>ipi_eeuu año base 2006</t>
  </si>
  <si>
    <t>remesas millones de dolares</t>
  </si>
  <si>
    <t>zona franca export miles de dolares</t>
  </si>
  <si>
    <t>zona franca export millones de dolares</t>
  </si>
  <si>
    <t>fob manofactura millones de dolares</t>
  </si>
  <si>
    <t>exportaciones manofactura totales</t>
  </si>
  <si>
    <t>exportaciones_manofactura_reales</t>
  </si>
  <si>
    <t>exportaciones _naturales</t>
  </si>
  <si>
    <t>exportaciones _naturales_reales</t>
  </si>
  <si>
    <t>pib_millones_dolares</t>
  </si>
  <si>
    <t>pib_real_dolares</t>
  </si>
  <si>
    <t>exportaciones_primarias_reales</t>
  </si>
  <si>
    <t>exportaciones_manofactura_reales_%</t>
  </si>
  <si>
    <t>remesas_reales_%</t>
  </si>
  <si>
    <t>exportaciones_primarias_reales_%</t>
  </si>
  <si>
    <t>ipc anual</t>
  </si>
  <si>
    <t>I</t>
  </si>
  <si>
    <t>II</t>
  </si>
  <si>
    <t>III</t>
  </si>
  <si>
    <t>IV</t>
  </si>
  <si>
    <t>pibt</t>
  </si>
  <si>
    <t>trimestre</t>
  </si>
  <si>
    <t>ipc_trimestral</t>
  </si>
  <si>
    <t>tipo_de_cambio_compra_promedio_trimestral</t>
  </si>
  <si>
    <t>pibt_real_dolar</t>
  </si>
  <si>
    <t>no_transable</t>
  </si>
  <si>
    <t xml:space="preserve">contruccion </t>
  </si>
  <si>
    <t>electricidad</t>
  </si>
  <si>
    <t>comercio</t>
  </si>
  <si>
    <t>hoteles y restaurantes</t>
  </si>
  <si>
    <t>propiedad vivienda</t>
  </si>
  <si>
    <t>administracio publica  defensa</t>
  </si>
  <si>
    <t>enseñanza</t>
  </si>
  <si>
    <t>salud</t>
  </si>
  <si>
    <t>otros</t>
  </si>
  <si>
    <t>agua</t>
  </si>
  <si>
    <t>pibt_dolar</t>
  </si>
  <si>
    <t>no_trasable_real</t>
  </si>
  <si>
    <t>date</t>
  </si>
  <si>
    <t>pibt_total</t>
  </si>
  <si>
    <t>transable</t>
  </si>
  <si>
    <t>agricultura</t>
  </si>
  <si>
    <t>Pecuario</t>
  </si>
  <si>
    <t>Silvicultura y extracción de madera</t>
  </si>
  <si>
    <t>Pesca y acuicultura</t>
  </si>
  <si>
    <t>Explotación de minas y canteras</t>
  </si>
  <si>
    <t>Industria manufacturera</t>
  </si>
  <si>
    <t>Comercio</t>
  </si>
  <si>
    <t>Intermediación financiera y servicios conexos</t>
  </si>
  <si>
    <t>transable_%</t>
  </si>
  <si>
    <t>no_transable_%</t>
  </si>
  <si>
    <t>remesas</t>
  </si>
  <si>
    <t>exportaciones_manofactura</t>
  </si>
  <si>
    <t>exportaciones_primarias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</si>
</sst>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XDR&quot;* #,##0.00_-;\-&quot;XDR&quot;* #,##0.00_-;_-&quot;XDR&quot;* &quot;-&quot;??_-;_-@_-"/>
    <numFmt numFmtId="164" formatCode="_(* #,##0.00_);_(* \(#,##0.00\);_(* &quot;-&quot;??_);_(@_)"/>
    <numFmt numFmtId="165" formatCode="_-[$$-409]* #,##0.00_ ;_-[$$-409]* \-#,##0.00\ ;_-[$$-409]* &quot;-&quot;??_ ;_-@_ "/>
    <numFmt numFmtId="166" formatCode="_(* #,##0.0_);_(* \(#,##0.0\);_(* &quot;-&quot;??_);_(@_)"/>
    <numFmt numFmtId="167" formatCode="0.0000"/>
    <numFmt numFmtId="168" formatCode="_-[$$-2C0A]\ * #,##0.00_-;\-[$$-2C0A]\ * #,##0.00_-;_-[$$-2C0A]\ * &quot;-&quot;??_-;_-@_-"/>
  </numFmts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5" fillId="7" borderId="7" applyNumberFormat="0" applyAlignment="0" applyProtection="0"/>
    <xf numFmtId="0" fontId="18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1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1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1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1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1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2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165" fontId="0" fillId="0" borderId="0" xfId="0" applyNumberFormat="1"/>
    <xf numFmtId="0" fontId="6" fillId="0" borderId="0" xfId="0" applyFont="1" applyAlignment="1">
      <alignment wrapText="1"/>
    </xf>
    <xf numFmtId="166" fontId="0" fillId="0" borderId="0" xfId="0" applyNumberFormat="1"/>
    <xf numFmtId="0" fontId="0" fillId="0" borderId="0" xfId="0"/>
    <xf numFmtId="0" fontId="6" fillId="0" borderId="0" xfId="0" applyFont="1" applyAlignment="1">
      <alignment wrapText="1"/>
    </xf>
    <xf numFmtId="167" fontId="0" fillId="0" borderId="0" xfId="0" applyNumberFormat="1"/>
    <xf numFmtId="0" fontId="4" fillId="0" borderId="0" xfId="1" applyFont="1"/>
    <xf numFmtId="0" fontId="0" fillId="33" borderId="0" xfId="0" applyFill="1"/>
    <xf numFmtId="167" fontId="0" fillId="33" borderId="0" xfId="0" applyNumberFormat="1" applyFill="1"/>
    <xf numFmtId="2" fontId="6" fillId="0" borderId="0" xfId="0" applyNumberFormat="1" applyFont="1" applyAlignment="1">
      <alignment wrapText="1"/>
    </xf>
    <xf numFmtId="0" fontId="18" fillId="0" borderId="0" xfId="0" applyFont="1"/>
    <xf numFmtId="0" fontId="18" fillId="33" borderId="0" xfId="0" applyFont="1" applyFill="1"/>
    <xf numFmtId="168" fontId="18" fillId="33" borderId="0" xfId="44" applyNumberFormat="1" applyFont="1" applyFill="1"/>
    <xf numFmtId="165" fontId="18" fillId="33" borderId="0" xfId="0" applyNumberFormat="1" applyFont="1" applyFill="1"/>
    <xf numFmtId="0" fontId="18" fillId="33" borderId="0" xfId="0" applyNumberFormat="1" applyFont="1" applyFill="1"/>
    <xf numFmtId="165" fontId="18" fillId="0" borderId="0" xfId="0" applyNumberFormat="1" applyFont="1"/>
    <xf numFmtId="0" fontId="0" fillId="0" borderId="0" xfId="0" applyFill="1"/>
    <xf numFmtId="14" fontId="0" fillId="0" borderId="0" xfId="0" applyNumberFormat="1"/>
    <xf numFmtId="0" fontId="0" fillId="0" borderId="0" xfId="47" applyNumberFormat="1" applyFont="1"/>
  </cellXfs>
  <cellStyles count="4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Hipervínculo" xfId="1" builtinId="8"/>
    <cellStyle name="Incorrecto" xfId="9" builtinId="27" customBuiltin="1"/>
    <cellStyle name="Millares 2" xfId="2" xr:uid="{25CDD79D-2746-408A-9DC4-FDBE65F246B5}"/>
    <cellStyle name="Millares 7" xfId="45" xr:uid="{5940AF6C-D572-4907-A322-0EF612AA7762}"/>
    <cellStyle name="Moneda" xfId="44" builtinId="4"/>
    <cellStyle name="Neutral" xfId="10" builtinId="28" customBuiltin="1"/>
    <cellStyle name="Normal" xfId="0" builtinId="0"/>
    <cellStyle name="Normal 2" xfId="46" xr:uid="{4CB73370-98F0-48E9-839E-E90103B53D10}"/>
    <cellStyle name="Notas" xfId="17" builtinId="10" customBuiltin="1"/>
    <cellStyle name="Porcentaje" xfId="47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cn.gob.ni/cuentas-nacionales-trimestrales" TargetMode="External"/><Relationship Id="rId3" Type="http://schemas.openxmlformats.org/officeDocument/2006/relationships/hyperlink" Target="https://fred.stlouisfed.org/series/INDPRO" TargetMode="External"/><Relationship Id="rId7" Type="http://schemas.openxmlformats.org/officeDocument/2006/relationships/hyperlink" Target="https://www.bcn.gob.ni/cuentas-nacionales-trimestrales" TargetMode="External"/><Relationship Id="rId2" Type="http://schemas.openxmlformats.org/officeDocument/2006/relationships/hyperlink" Target="https://www.secmca.org/chart/?parent=Tipos%20de%20cambio&amp;scid=1&amp;cid=3&amp;scsid=undefined&amp;son=%C3%8Dndice%20tipo%20de%20cambio%20efectivo%20real&amp;url=30/238/4/39/265/19-258/130/20061-20062-20063-20064-20065-20066-20067-20068-20069-200610-200611-200612-20071-20072-20073-20074-20075-20076-20077-20078-20079-200710-200711-200712-20081-20082-20083-20084-20085-20086-20087-20088-20089-200810-200811-200812-20091-20092-20093-20094-20095-20096-20097-20098-20099-200910-200911-200912-20101-20102-20103-20104-20105-20106-20107-20108-20109-201010-201011-201012-20111-20112-20113-20114-20115-20116-20117-20118-20119-201110-201111-201112-20121-20122-20123-20124-20125-20126-20127-20128-20129-201210-201211-201212-20131-20132-20133-20134-20135-20136-20137-20138-20139-201310-201311-201312-20141-20142-20143-20144-20145-20146-20147-20148-20149-201410-201411-201412-20151-20152-20153-20154-20155-20156-20157-20158-20159-201510-201511-201512-20161-20162-20163-20164-20165-20166-20167-20168-20169-201610-201611-201612-20171-20172-20173-20174-20175-20176-20177-20178-20179-201710-201711-201712-20181-20182-20183-20184-20185-20186-20187-20188-20189-201810-201811-201812-20191-20192-20193-20194-20195-20196-20197-20198-20199-201910-201911-201912-20201-20202-20203-20204-20205-20206-20207-20208-20209-202010-202011-202012-20211-20212-20213-20214-20215-20216-20217-20218-20219-202110-202111-202112-20221-20222-20223-20224-20225-20226-20227-20228-20229-202210-202211-202212-20231-20232-20233-20234-20235-20236-20237-20238-20239-202310-202311-202312-&amp;all_vars=1|ITCER%20con%20USA" TargetMode="External"/><Relationship Id="rId1" Type="http://schemas.openxmlformats.org/officeDocument/2006/relationships/hyperlink" Target="https://www.bcn.gob.ni/indices-de-comercio-exterior" TargetMode="External"/><Relationship Id="rId6" Type="http://schemas.openxmlformats.org/officeDocument/2006/relationships/hyperlink" Target="https://www.bcn.gob.ni/sites/default/files/estadisticas/sector_externo/comercio_exterior/exportaciones/6-3b.htm" TargetMode="External"/><Relationship Id="rId5" Type="http://schemas.openxmlformats.org/officeDocument/2006/relationships/hyperlink" Target="https://www.bcn.gob.ni/remesas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secmca.org/chart/?parent=Producci%C3%B3n&amp;scid=2&amp;cid=1&amp;scsid=5&amp;son=%C3%8Dndice%20Mensual%20de%20la%20Actividad%20Econ%C3%B3mica&amp;url=16/14-16/4/39/265/19-258/88/20061-20062-20063-20064-20065-20066-20067-20068-20069-200610-200611-200612-20071-20072-20073-20074-20075-20076-20077-20078-20079-200710-200711-200712-20081-20082-20083-20084-20085-20086-20087-20088-20089-200810-200811-200812-20091-20092-20093-20094-20095-20096-20097-20098-20099-200910-200911-200912-20101-20102-20103-20104-20105-20106-20107-20108-20109-201010-201011-201012-20111-20112-20113-20114-20115-20116-20117-20118-20119-201110-201111-201112-20121-20122-20123-20124-20125-20126-20127-20128-20129-201210-201211-201212-20131-20132-20133-20134-20135-20136-20137-20138-20139-201310-201311-201312-20141-20142-20143-20144-20145-20146-20147-20148-20149-201410-201411-201412-20151-20152-20153-20154-20155-20156-20157-20158-20159-201510-201511-201512-20161-20162-20163-20164-20165-20166-20167-20168-20169-201610-201611-201612-20171-20172-20173-20174-20175-20176-20177-20178-20179-201710-201711-201712-20181-20182-20183-20184-20185-20186-20187-20188-20189-201810-201811-201812-20191-20192-20193-20194-20195-20196-20197-20198-20199-201910-201911-201912-20201-20202-20203-20204-20205-20206-20207-20208-20209-202010-202011-202012-20211-20212-20213-20214-20215-20216-20217-20218-20219-202110-202111-202112-20221-20222-20223-20224-20225-20226-20227-20228-20229-202210-202211-202212-20231-20232-20233-20234-20235-20236-20237-20238-20239-202310-202311-202312-&amp;all_vars=7|Industrias%20manufactureras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https://fred.stlouisfed.org/series/INDPRO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www.secmca.org/chart/?parent=Tipos%20de%20cambio&amp;scid=1&amp;cid=3&amp;scsid=undefined&amp;son=%C3%8Dndice%20tipo%20de%20cambio%20efectivo%20real&amp;url=30/238/4/39/265/19-258/130/20061-20062-20063-20064-20065-20066-20067-20068-20069-200610-200611-200612-20071-20072-20073-20074-20075-20076-20077-20078-20079-200710-200711-200712-20081-20082-20083-20084-20085-20086-20087-20088-20089-200810-200811-200812-20091-20092-20093-20094-20095-20096-20097-20098-20099-200910-200911-200912-20101-20102-20103-20104-20105-20106-20107-20108-20109-201010-201011-201012-20111-20112-20113-20114-20115-20116-20117-20118-20119-201110-201111-201112-20121-20122-20123-20124-20125-20126-20127-20128-20129-201210-201211-201212-20131-20132-20133-20134-20135-20136-20137-20138-20139-201310-201311-201312-20141-20142-20143-20144-20145-20146-20147-20148-20149-201410-201411-201412-20151-20152-20153-20154-20155-20156-20157-20158-20159-201510-201511-201512-20161-20162-20163-20164-20165-20166-20167-20168-20169-201610-201611-201612-20171-20172-20173-20174-20175-20176-20177-20178-20179-201710-201711-201712-20181-20182-20183-20184-20185-20186-20187-20188-20189-201810-201811-201812-20191-20192-20193-20194-20195-20196-20197-20198-20199-201910-201911-201912-20201-20202-20203-20204-20205-20206-20207-20208-20209-202010-202011-202012-20211-20212-20213-20214-20215-20216-20217-20218-20219-202110-202111-202112-20221-20222-20223-20224-20225-20226-20227-20228-20229-202210-202211-202212-20231-20232-20233-20234-20235-20236-20237-20238-20239-202310-202311-202312-&amp;all_vars=1|ITCER%20con%20USA" TargetMode="External"/><Relationship Id="rId1" Type="http://schemas.openxmlformats.org/officeDocument/2006/relationships/hyperlink" Target="https://www.bcn.gob.ni/indices-de-comercio-exterior" TargetMode="External"/><Relationship Id="rId6" Type="http://schemas.openxmlformats.org/officeDocument/2006/relationships/hyperlink" Target="https://www.bcn.gob.ni/sites/default/files/estadisticas/sector_externo/comercio_exterior/exportaciones/6-3b.htm" TargetMode="External"/><Relationship Id="rId5" Type="http://schemas.openxmlformats.org/officeDocument/2006/relationships/hyperlink" Target="https://www.bcn.gob.ni/remesas" TargetMode="External"/><Relationship Id="rId4" Type="http://schemas.openxmlformats.org/officeDocument/2006/relationships/hyperlink" Target="https://www.secmca.org/chart/?parent=Producci%C3%B3n&amp;scid=2&amp;cid=1&amp;scsid=5&amp;son=%C3%8Dndice%20Mensual%20de%20la%20Actividad%20Econ%C3%B3mica&amp;url=16/14-16/4/39/265/19-258/88/20061-20062-20063-20064-20065-20066-20067-20068-20069-200610-200611-200612-20071-20072-20073-20074-20075-20076-20077-20078-20079-200710-200711-200712-20081-20082-20083-20084-20085-20086-20087-20088-20089-200810-200811-200812-20091-20092-20093-20094-20095-20096-20097-20098-20099-200910-200911-200912-20101-20102-20103-20104-20105-20106-20107-20108-20109-201010-201011-201012-20111-20112-20113-20114-20115-20116-20117-20118-20119-201110-201111-201112-20121-20122-20123-20124-20125-20126-20127-20128-20129-201210-201211-201212-20131-20132-20133-20134-20135-20136-20137-20138-20139-201310-201311-201312-20141-20142-20143-20144-20145-20146-20147-20148-20149-201410-201411-201412-20151-20152-20153-20154-20155-20156-20157-20158-20159-201510-201511-201512-20161-20162-20163-20164-20165-20166-20167-20168-20169-201610-201611-201612-20171-20172-20173-20174-20175-20176-20177-20178-20179-201710-201711-201712-20181-20182-20183-20184-20185-20186-20187-20188-20189-201810-201811-201812-20191-20192-20193-20194-20195-20196-20197-20198-20199-201910-201911-201912-20201-20202-20203-20204-20205-20206-20207-20208-20209-202010-202011-202012-20211-20212-20213-20214-20215-20216-20217-20218-20219-202110-202111-202112-20221-20222-20223-20224-20225-20226-20227-20228-20229-202210-202211-202212-20231-20232-20233-20234-20235-20236-20237-20238-20239-202310-202311-202312-&amp;all_vars=7|Industrias%20manufacturera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bcn.gob.ni/cuentas-nacionales-trimestrales" TargetMode="External"/><Relationship Id="rId1" Type="http://schemas.openxmlformats.org/officeDocument/2006/relationships/hyperlink" Target="https://www.secmca.org/chart/?parent=Tipos%20de%20cambio&amp;scid=0&amp;cid=3&amp;scsid=undefined&amp;son=Tipo%20de%20cambio%20de%20mercado&amp;url=29/238/4/39/269-270/263-264/232/20061-20062-20063-20064-20065-20066-20067-20068-20069-200610-200611-200612-20071-20072-20073-20074-20075-20076-20077-20078-20079-200710-200711-200712-20081-20082-20083-20084-20085-20086-20087-20088-20089-200810-200811-200812-20091-20092-20093-20094-20095-20096-20097-20098-20099-200910-200911-200912-20101-20102-20103-20104-20105-20106-20107-20108-20109-201010-201011-201012-20111-20112-20113-20114-20115-20116-20117-20118-20119-201110-201111-201112-20121-20122-20123-20124-20125-20126-20127-20128-20129-201210-201211-201212-20131-20132-20133-20134-20135-20136-20137-20138-20139-201310-201311-201312-20141-20142-20143-20144-20145-20146-20147-20148-20149-201410-201411-201412-20151-20152-20153-20154-20155-20156-20157-20158-20159-201510-201511-201512-20161-20162-20163-20164-20165-20166-20167-20168-20169-201610-201611-201612-20171-20172-20173-20174-20175-20176-20177-20178-20179-201710-201711-201712-20181-20182-20183-20184-20185-20186-20187-20188-20189-201810-201811-201812-20191-20192-20193-20194-20195-20196-20197-20198-20199-201910-201911-201912-20201-20202-20203-20204-20205-20206-20207-20208-20209-202010-202011-202012-20211-20212-20213-20214-20215-20216-20217-20218-20219-202110-202111-202112-20221-20222-20223-20224-20225-20226-20227-20228-20229-202210-202211-202212-20231-20232-20233-20234-20235-20236-20237-20238-20239-202310-202311-202312-&amp;all_vars=1|Tipo%20de%20cambio%20de%20compra%20promedio%20del%20mes" TargetMode="Externa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0046-FA6C-4E60-A219-31FB5A7910C0}">
  <dimension ref="A2:V1048576"/>
  <sheetViews>
    <sheetView tabSelected="1" workbookViewId="0">
      <selection activeCell="H6" sqref="H6"/>
    </sheetView>
  </sheetViews>
  <sheetFormatPr baseColWidth="10" defaultRowHeight="14.4" x14ac:dyDescent="0.3"/>
  <cols>
    <col min="3" max="3" width="4.21875" bestFit="1" customWidth="1"/>
    <col min="4" max="4" width="11.44140625" customWidth="1"/>
    <col min="5" max="5" width="11.6640625" customWidth="1"/>
    <col min="6" max="6" width="11.44140625" bestFit="1" customWidth="1"/>
    <col min="7" max="7" width="16.5546875" bestFit="1" customWidth="1"/>
    <col min="8" max="8" width="16.5546875" style="5" customWidth="1"/>
    <col min="9" max="9" width="30.33203125" bestFit="1" customWidth="1"/>
    <col min="10" max="10" width="13.6640625" bestFit="1" customWidth="1"/>
    <col min="11" max="11" width="27.33203125" bestFit="1" customWidth="1"/>
    <col min="12" max="12" width="16.5546875" bestFit="1" customWidth="1"/>
    <col min="21" max="21" width="27.33203125" bestFit="1" customWidth="1"/>
    <col min="22" max="22" width="8" bestFit="1" customWidth="1"/>
  </cols>
  <sheetData>
    <row r="2" spans="1:22" x14ac:dyDescent="0.3">
      <c r="A2" t="s">
        <v>53</v>
      </c>
      <c r="B2" s="6" t="s">
        <v>12</v>
      </c>
      <c r="C2" s="6" t="s">
        <v>1</v>
      </c>
      <c r="D2" s="1" t="s">
        <v>0</v>
      </c>
      <c r="E2" s="1" t="s">
        <v>3</v>
      </c>
      <c r="F2" s="1" t="s">
        <v>4</v>
      </c>
      <c r="G2" s="1" t="s">
        <v>40</v>
      </c>
      <c r="H2" s="1" t="s">
        <v>55</v>
      </c>
      <c r="I2" s="8" t="s">
        <v>67</v>
      </c>
      <c r="J2" s="1" t="s">
        <v>66</v>
      </c>
      <c r="K2" s="1" t="s">
        <v>68</v>
      </c>
      <c r="L2" s="1" t="s">
        <v>8</v>
      </c>
    </row>
    <row r="3" spans="1:22" x14ac:dyDescent="0.3">
      <c r="A3" s="19">
        <v>38718</v>
      </c>
      <c r="B3" s="6">
        <v>2006</v>
      </c>
      <c r="C3" t="s">
        <v>31</v>
      </c>
      <c r="D3">
        <v>100.32539657707831</v>
      </c>
      <c r="E3" s="5">
        <v>100.35462718860096</v>
      </c>
      <c r="F3" s="5">
        <v>99.301288560939454</v>
      </c>
      <c r="G3" s="20">
        <v>48.362278183562275</v>
      </c>
      <c r="H3" s="5">
        <v>35.723715072681223</v>
      </c>
      <c r="I3" s="5">
        <v>6.3552441971823788</v>
      </c>
      <c r="J3" s="5">
        <v>3.5235034921159278</v>
      </c>
      <c r="K3" s="5">
        <v>2.9151019050031826</v>
      </c>
      <c r="L3" s="5">
        <v>107.28666666666668</v>
      </c>
      <c r="V3" s="5"/>
    </row>
    <row r="4" spans="1:22" x14ac:dyDescent="0.3">
      <c r="A4" s="19">
        <v>38808</v>
      </c>
      <c r="B4" s="6">
        <v>2006</v>
      </c>
      <c r="C4" t="s">
        <v>32</v>
      </c>
      <c r="D4" s="5">
        <v>99.374237351772464</v>
      </c>
      <c r="E4" s="5">
        <v>100.87298717536714</v>
      </c>
      <c r="F4" s="5">
        <v>99.887646119225209</v>
      </c>
      <c r="G4">
        <v>50.245503118084699</v>
      </c>
      <c r="H4" s="5">
        <v>33.725790224696865</v>
      </c>
      <c r="I4" s="5">
        <v>7.0499686632711764</v>
      </c>
      <c r="J4" s="5">
        <v>3.4373075902777455</v>
      </c>
      <c r="K4" s="5">
        <v>3.262887539839685</v>
      </c>
      <c r="L4" s="5">
        <v>90.889999999999986</v>
      </c>
      <c r="N4" s="5"/>
    </row>
    <row r="5" spans="1:22" x14ac:dyDescent="0.3">
      <c r="A5" s="19">
        <v>38899</v>
      </c>
      <c r="B5" s="6">
        <v>2006</v>
      </c>
      <c r="C5" t="s">
        <v>33</v>
      </c>
      <c r="D5" s="5">
        <v>100.39735928162447</v>
      </c>
      <c r="E5" s="5">
        <v>98.262450070481449</v>
      </c>
      <c r="F5" s="5">
        <v>100.28344987826574</v>
      </c>
      <c r="G5">
        <v>49.265017075083648</v>
      </c>
      <c r="H5" s="5">
        <v>35.530825694472639</v>
      </c>
      <c r="I5" s="5">
        <v>7.4221853779646061</v>
      </c>
      <c r="J5" s="5">
        <v>3.5437516747594073</v>
      </c>
      <c r="K5" s="5">
        <v>2.7450012355676163</v>
      </c>
      <c r="L5" s="5">
        <v>100.29</v>
      </c>
      <c r="N5" s="5"/>
    </row>
    <row r="6" spans="1:22" x14ac:dyDescent="0.3">
      <c r="A6" s="19">
        <v>38991</v>
      </c>
      <c r="B6" s="6">
        <v>2006</v>
      </c>
      <c r="C6" t="s">
        <v>34</v>
      </c>
      <c r="D6" s="5">
        <v>99.903006789524724</v>
      </c>
      <c r="E6" s="5">
        <v>100.6164806008225</v>
      </c>
      <c r="F6" s="5">
        <v>100.5285274144059</v>
      </c>
      <c r="G6">
        <v>49.133694340397902</v>
      </c>
      <c r="H6" s="5">
        <v>36.065866692245478</v>
      </c>
      <c r="I6" s="5">
        <v>7.4819124515663136</v>
      </c>
      <c r="J6" s="5">
        <v>3.2876525745138849</v>
      </c>
      <c r="K6" s="5">
        <v>2.4221955921749934</v>
      </c>
      <c r="L6" s="5">
        <v>101.53666666666668</v>
      </c>
      <c r="N6" s="5"/>
    </row>
    <row r="7" spans="1:22" x14ac:dyDescent="0.3">
      <c r="B7" s="6">
        <v>2007</v>
      </c>
      <c r="C7" s="5" t="s">
        <v>31</v>
      </c>
      <c r="D7" s="5">
        <v>98.779762835956305</v>
      </c>
      <c r="E7" s="5">
        <v>102.86213850113825</v>
      </c>
      <c r="F7" s="5">
        <v>101.55112716543636</v>
      </c>
      <c r="G7">
        <v>47.985279082961206</v>
      </c>
      <c r="H7" s="5">
        <v>36.19985414478456</v>
      </c>
      <c r="I7" s="5">
        <v>7.8943342253321207</v>
      </c>
      <c r="J7" s="5">
        <v>3.1001270048289413</v>
      </c>
      <c r="K7" s="5">
        <v>2.9390094589831053</v>
      </c>
      <c r="L7" s="5">
        <v>108.74000000000001</v>
      </c>
      <c r="N7" s="5"/>
    </row>
    <row r="8" spans="1:22" x14ac:dyDescent="0.3">
      <c r="B8" s="6">
        <v>2007</v>
      </c>
      <c r="C8" s="5" t="s">
        <v>32</v>
      </c>
      <c r="D8" s="5">
        <v>97.622101936735376</v>
      </c>
      <c r="E8" s="5">
        <v>98.971560893881289</v>
      </c>
      <c r="F8" s="5">
        <v>102.72630646873448</v>
      </c>
      <c r="G8">
        <v>48.483094415945907</v>
      </c>
      <c r="H8" s="5">
        <v>35.205638880308705</v>
      </c>
      <c r="I8" s="5">
        <v>7.8006147938971413</v>
      </c>
      <c r="J8" s="5">
        <v>3.3523219368527202</v>
      </c>
      <c r="K8" s="5">
        <v>2.9248211332643699</v>
      </c>
      <c r="L8" s="5">
        <v>95.166666666666671</v>
      </c>
      <c r="N8" s="5"/>
    </row>
    <row r="9" spans="1:22" x14ac:dyDescent="0.3">
      <c r="B9" s="6">
        <v>2007</v>
      </c>
      <c r="C9" s="5" t="s">
        <v>33</v>
      </c>
      <c r="D9" s="5">
        <v>97.24351553455773</v>
      </c>
      <c r="E9" s="5">
        <v>96.240854593926244</v>
      </c>
      <c r="F9" s="5">
        <v>102.8201523285104</v>
      </c>
      <c r="G9">
        <v>48.041524494975327</v>
      </c>
      <c r="H9" s="5">
        <v>37.210446010022316</v>
      </c>
      <c r="I9" s="5">
        <v>8.3450413789131019</v>
      </c>
      <c r="J9" s="5">
        <v>3.4245350732753357</v>
      </c>
      <c r="K9" s="5">
        <v>2.5691743781777525</v>
      </c>
      <c r="L9" s="5">
        <v>102.97666666666667</v>
      </c>
      <c r="N9" s="5"/>
    </row>
    <row r="10" spans="1:22" x14ac:dyDescent="0.3">
      <c r="B10" s="6">
        <v>2007</v>
      </c>
      <c r="C10" s="5" t="s">
        <v>34</v>
      </c>
      <c r="D10" s="5">
        <v>94.102187040455533</v>
      </c>
      <c r="E10" s="5">
        <v>98.789556591419796</v>
      </c>
      <c r="F10" s="5">
        <v>103.15890723993851</v>
      </c>
      <c r="G10">
        <v>48.079643321851499</v>
      </c>
      <c r="H10" s="5">
        <v>36.874107611536196</v>
      </c>
      <c r="I10" s="5">
        <v>7.4497347814319399</v>
      </c>
      <c r="J10" s="5">
        <v>3.3764366222057216</v>
      </c>
      <c r="K10" s="5">
        <v>2.2630824795199946</v>
      </c>
      <c r="L10" s="5">
        <v>108.08333333333333</v>
      </c>
      <c r="N10" s="5"/>
    </row>
    <row r="11" spans="1:22" x14ac:dyDescent="0.3">
      <c r="B11" s="6">
        <v>2008</v>
      </c>
      <c r="C11" s="5" t="s">
        <v>31</v>
      </c>
      <c r="D11" s="5">
        <v>91.142329714339326</v>
      </c>
      <c r="E11" s="5">
        <v>97.372759217171961</v>
      </c>
      <c r="F11" s="5">
        <v>102.90213688033619</v>
      </c>
      <c r="G11">
        <v>48.625203399099618</v>
      </c>
      <c r="H11" s="5">
        <v>36.404558512459232</v>
      </c>
      <c r="I11" s="5">
        <v>8.2344474978295992</v>
      </c>
      <c r="J11" s="5">
        <v>3.2160841768410067</v>
      </c>
      <c r="K11" s="5">
        <v>3.3596814414078198</v>
      </c>
      <c r="L11" s="5">
        <v>114.96333333333332</v>
      </c>
      <c r="N11" s="5"/>
    </row>
    <row r="12" spans="1:22" x14ac:dyDescent="0.3">
      <c r="B12" s="6">
        <v>2008</v>
      </c>
      <c r="C12" s="5" t="s">
        <v>32</v>
      </c>
      <c r="D12" s="5">
        <v>88.285723225180675</v>
      </c>
      <c r="E12" s="5">
        <v>93.292708446001484</v>
      </c>
      <c r="F12" s="5">
        <v>101.34739572263378</v>
      </c>
      <c r="G12">
        <v>49.112592071078211</v>
      </c>
      <c r="H12" s="5">
        <v>36.573811758429848</v>
      </c>
      <c r="I12" s="5">
        <v>8.3390321374830787</v>
      </c>
      <c r="J12" s="5">
        <v>3.2579255560674798</v>
      </c>
      <c r="K12" s="5">
        <v>3.3492987310395268</v>
      </c>
      <c r="L12" s="5">
        <v>102.34333333333335</v>
      </c>
      <c r="N12" s="5"/>
    </row>
    <row r="13" spans="1:22" x14ac:dyDescent="0.3">
      <c r="B13" s="6">
        <v>2008</v>
      </c>
      <c r="C13" s="5" t="s">
        <v>33</v>
      </c>
      <c r="D13" s="5">
        <v>87.12180469947748</v>
      </c>
      <c r="E13" s="5">
        <v>88.658954531691094</v>
      </c>
      <c r="F13" s="5">
        <v>97.999373069220439</v>
      </c>
      <c r="G13">
        <v>49.077791395551735</v>
      </c>
      <c r="H13" s="5">
        <v>37.447727674146527</v>
      </c>
      <c r="I13" s="5">
        <v>7.9912148516935009</v>
      </c>
      <c r="J13" s="5">
        <v>3.1509172975996909</v>
      </c>
      <c r="K13" s="5">
        <v>3.081398711882033</v>
      </c>
      <c r="L13" s="5">
        <v>105.10666666666667</v>
      </c>
      <c r="N13" s="5"/>
    </row>
    <row r="14" spans="1:22" x14ac:dyDescent="0.3">
      <c r="B14" s="6">
        <v>2008</v>
      </c>
      <c r="C14" s="5" t="s">
        <v>34</v>
      </c>
      <c r="D14" s="5">
        <v>86.189418353618464</v>
      </c>
      <c r="E14" s="5">
        <v>93.650346730975897</v>
      </c>
      <c r="F14" s="5">
        <v>93.807714887853805</v>
      </c>
      <c r="G14">
        <v>51.337524152180926</v>
      </c>
      <c r="H14" s="5">
        <v>34.768375400158028</v>
      </c>
      <c r="I14" s="5">
        <v>7.0817601066598943</v>
      </c>
      <c r="J14" s="5">
        <v>3.1958055523445337</v>
      </c>
      <c r="K14" s="5">
        <v>2.0512387393982068</v>
      </c>
      <c r="L14" s="5">
        <v>98.25333333333333</v>
      </c>
      <c r="N14" s="5"/>
    </row>
    <row r="15" spans="1:22" x14ac:dyDescent="0.3">
      <c r="B15" s="6">
        <v>2009</v>
      </c>
      <c r="C15" s="5" t="s">
        <v>31</v>
      </c>
      <c r="D15" s="5">
        <v>86.596164074966353</v>
      </c>
      <c r="E15" s="5">
        <v>102.17317348130348</v>
      </c>
      <c r="F15" s="5">
        <v>88.516055181702541</v>
      </c>
      <c r="G15">
        <v>49.422474680235325</v>
      </c>
      <c r="H15" s="5">
        <v>35.768889562505024</v>
      </c>
      <c r="I15" s="5">
        <v>7.7147711122413529</v>
      </c>
      <c r="J15" s="5">
        <v>3.1976371366258181</v>
      </c>
      <c r="K15" s="5">
        <v>2.7521577842040652</v>
      </c>
      <c r="L15" s="5">
        <v>103.97333333333331</v>
      </c>
      <c r="N15" s="5"/>
    </row>
    <row r="16" spans="1:22" x14ac:dyDescent="0.3">
      <c r="B16" s="6">
        <v>2009</v>
      </c>
      <c r="C16" s="5" t="s">
        <v>32</v>
      </c>
      <c r="D16" s="5">
        <v>87.935296142173272</v>
      </c>
      <c r="E16" s="5">
        <v>104.11898001362408</v>
      </c>
      <c r="F16" s="5">
        <v>86.064740669939809</v>
      </c>
      <c r="G16">
        <v>51.781926870976967</v>
      </c>
      <c r="H16" s="5">
        <v>33.859871108483539</v>
      </c>
      <c r="I16" s="5">
        <v>7.320507550895222</v>
      </c>
      <c r="J16" s="5">
        <v>3.1496620043919705</v>
      </c>
      <c r="K16" s="5">
        <v>3.1358097193945</v>
      </c>
      <c r="L16" s="5">
        <v>85.18</v>
      </c>
      <c r="N16" s="5"/>
    </row>
    <row r="17" spans="2:14" x14ac:dyDescent="0.3">
      <c r="B17" s="6">
        <v>2009</v>
      </c>
      <c r="C17" s="5" t="s">
        <v>33</v>
      </c>
      <c r="D17" s="5">
        <v>90.378899283501752</v>
      </c>
      <c r="E17" s="5">
        <v>99.915340954915962</v>
      </c>
      <c r="F17" s="5">
        <v>87.513100721964477</v>
      </c>
      <c r="G17">
        <v>49.330949868276178</v>
      </c>
      <c r="H17" s="5">
        <v>36.648823927251044</v>
      </c>
      <c r="I17" s="5">
        <v>8.9205463437606678</v>
      </c>
      <c r="J17" s="5">
        <v>2.9591641503685482</v>
      </c>
      <c r="K17" s="5">
        <v>2.7527000992438975</v>
      </c>
      <c r="L17" s="5">
        <v>104.49333333333334</v>
      </c>
      <c r="N17" s="5"/>
    </row>
    <row r="18" spans="2:14" x14ac:dyDescent="0.3">
      <c r="B18" s="6">
        <v>2009</v>
      </c>
      <c r="C18" s="5" t="s">
        <v>34</v>
      </c>
      <c r="D18" s="5">
        <v>91.345702575013277</v>
      </c>
      <c r="E18" s="5">
        <v>100.07243140884698</v>
      </c>
      <c r="F18" s="5">
        <v>88.878970768699546</v>
      </c>
      <c r="G18">
        <v>49.857087425906883</v>
      </c>
      <c r="H18" s="5">
        <v>35.806937413672024</v>
      </c>
      <c r="I18" s="5">
        <v>7.9643098125869907</v>
      </c>
      <c r="J18" s="5">
        <v>3.045209624262442</v>
      </c>
      <c r="K18" s="5">
        <v>1.8613173517807482</v>
      </c>
      <c r="L18" s="5">
        <v>103.96666666666665</v>
      </c>
      <c r="N18" s="5"/>
    </row>
    <row r="19" spans="2:14" x14ac:dyDescent="0.3">
      <c r="B19" s="6">
        <v>2010</v>
      </c>
      <c r="C19" s="5" t="s">
        <v>31</v>
      </c>
      <c r="D19" s="5">
        <v>90.550984011764328</v>
      </c>
      <c r="E19" s="5">
        <v>100.55570922901097</v>
      </c>
      <c r="F19" s="5">
        <v>90.587336082494744</v>
      </c>
      <c r="G19">
        <v>48.518710956788667</v>
      </c>
      <c r="H19" s="5">
        <v>35.253179885373797</v>
      </c>
      <c r="I19" s="5">
        <v>9.2269124905054554</v>
      </c>
      <c r="J19" s="5">
        <v>3.1935973560622894</v>
      </c>
      <c r="K19" s="5">
        <v>3.7905370329712</v>
      </c>
      <c r="L19" s="5">
        <v>110.83</v>
      </c>
      <c r="N19" s="5"/>
    </row>
    <row r="20" spans="2:14" x14ac:dyDescent="0.3">
      <c r="B20" s="6">
        <v>2010</v>
      </c>
      <c r="C20" s="5" t="s">
        <v>32</v>
      </c>
      <c r="D20" s="5">
        <v>90.188041675792363</v>
      </c>
      <c r="E20" s="5">
        <v>99.607074632047912</v>
      </c>
      <c r="F20" s="5">
        <v>92.351537155589298</v>
      </c>
      <c r="G20">
        <v>48.971935259252454</v>
      </c>
      <c r="H20" s="5">
        <v>35.784639387082514</v>
      </c>
      <c r="I20" s="5">
        <v>9.8026298654352875</v>
      </c>
      <c r="J20" s="5">
        <v>3.1881524520915407</v>
      </c>
      <c r="K20" s="5">
        <v>4.2316969400640083</v>
      </c>
      <c r="L20" s="5">
        <v>99.76</v>
      </c>
      <c r="N20" s="5"/>
    </row>
    <row r="21" spans="2:14" x14ac:dyDescent="0.3">
      <c r="B21" s="6">
        <v>2010</v>
      </c>
      <c r="C21" s="5" t="s">
        <v>33</v>
      </c>
      <c r="D21" s="5">
        <v>90.982760239041326</v>
      </c>
      <c r="E21" s="5">
        <v>105.66781319718855</v>
      </c>
      <c r="F21" s="5">
        <v>93.576891139392373</v>
      </c>
      <c r="G21">
        <v>46.58895321084448</v>
      </c>
      <c r="H21" s="5">
        <v>39.12179399180993</v>
      </c>
      <c r="I21" s="5">
        <v>10.376316649568787</v>
      </c>
      <c r="J21" s="5">
        <v>3.06055401561966</v>
      </c>
      <c r="K21" s="5">
        <v>3.1561578552585972</v>
      </c>
      <c r="L21" s="5">
        <v>111.86333333333333</v>
      </c>
      <c r="N21" s="5"/>
    </row>
    <row r="22" spans="2:14" x14ac:dyDescent="0.3">
      <c r="B22" s="6">
        <v>2010</v>
      </c>
      <c r="C22" s="5" t="s">
        <v>34</v>
      </c>
      <c r="D22" s="5">
        <v>89.534119708394599</v>
      </c>
      <c r="E22" s="5">
        <v>106.5439340725132</v>
      </c>
      <c r="F22" s="5">
        <v>93.96834799864439</v>
      </c>
      <c r="G22">
        <v>46.498427044661824</v>
      </c>
      <c r="H22" s="5">
        <v>39.255665455777198</v>
      </c>
      <c r="I22" s="5">
        <v>9.2676371100075983</v>
      </c>
      <c r="J22" s="5">
        <v>3.1142459666996136</v>
      </c>
      <c r="K22" s="5">
        <v>2.9037585738130378</v>
      </c>
      <c r="L22" s="5">
        <v>110.54333333333334</v>
      </c>
      <c r="N22" s="5"/>
    </row>
    <row r="23" spans="2:14" x14ac:dyDescent="0.3">
      <c r="B23" s="6">
        <v>2011</v>
      </c>
      <c r="C23" s="5" t="s">
        <v>31</v>
      </c>
      <c r="D23" s="5">
        <v>90.385156909984019</v>
      </c>
      <c r="E23" s="5">
        <v>108.49974562643554</v>
      </c>
      <c r="F23" s="5">
        <v>94.47322861516956</v>
      </c>
      <c r="G23">
        <v>47.235300026375768</v>
      </c>
      <c r="H23" s="5">
        <v>37.857731642998154</v>
      </c>
      <c r="I23" s="5">
        <v>10.264168894023552</v>
      </c>
      <c r="J23" s="5">
        <v>3.1557254305617994</v>
      </c>
      <c r="K23" s="5">
        <v>5.117634556284564</v>
      </c>
      <c r="L23" s="5">
        <v>118.59666666666665</v>
      </c>
      <c r="N23" s="5"/>
    </row>
    <row r="24" spans="2:14" x14ac:dyDescent="0.3">
      <c r="B24" s="6">
        <v>2011</v>
      </c>
      <c r="C24" s="5" t="s">
        <v>32</v>
      </c>
      <c r="D24" s="5">
        <v>90.288163699508758</v>
      </c>
      <c r="E24" s="5">
        <v>112.61752975195257</v>
      </c>
      <c r="F24" s="5">
        <v>94.849589264303233</v>
      </c>
      <c r="G24">
        <v>45.516972776073686</v>
      </c>
      <c r="H24" s="5">
        <v>39.343763122206241</v>
      </c>
      <c r="I24" s="5">
        <v>10.126151769454223</v>
      </c>
      <c r="J24" s="5">
        <v>3.0630303368548244</v>
      </c>
      <c r="K24" s="5">
        <v>4.6725324478240591</v>
      </c>
      <c r="L24" s="5">
        <v>107.39666666666666</v>
      </c>
      <c r="N24" s="5"/>
    </row>
    <row r="25" spans="2:14" x14ac:dyDescent="0.3">
      <c r="B25" s="6">
        <v>2011</v>
      </c>
      <c r="C25" s="5" t="s">
        <v>33</v>
      </c>
      <c r="D25" s="5">
        <v>90.707424673821208</v>
      </c>
      <c r="E25" s="5">
        <v>108.26981381137813</v>
      </c>
      <c r="F25" s="5">
        <v>95.9073011826179</v>
      </c>
      <c r="G25">
        <v>44.912697531383508</v>
      </c>
      <c r="H25" s="5">
        <v>40.187604325843004</v>
      </c>
      <c r="I25" s="5">
        <v>10.74316189313152</v>
      </c>
      <c r="J25" s="5">
        <v>3.0492556469495375</v>
      </c>
      <c r="K25" s="5">
        <v>3.3023657994779629</v>
      </c>
      <c r="L25" s="5">
        <v>125.41333333333334</v>
      </c>
      <c r="N25" s="5"/>
    </row>
    <row r="26" spans="2:14" x14ac:dyDescent="0.3">
      <c r="B26" s="6">
        <v>2011</v>
      </c>
      <c r="C26" s="5" t="s">
        <v>34</v>
      </c>
      <c r="D26" s="5">
        <v>89.975282375394997</v>
      </c>
      <c r="E26" s="5">
        <v>110.2100363187447</v>
      </c>
      <c r="F26" s="5">
        <v>96.89468767567142</v>
      </c>
      <c r="G26">
        <v>45.467873074842707</v>
      </c>
      <c r="H26" s="5">
        <v>40.895607777797125</v>
      </c>
      <c r="I26" s="5">
        <v>9.4791599039498315</v>
      </c>
      <c r="J26" s="5">
        <v>3.1703924504585963</v>
      </c>
      <c r="K26" s="5">
        <v>3.1230303406839846</v>
      </c>
      <c r="L26" s="5">
        <v>124.21333333333332</v>
      </c>
      <c r="N26" s="5"/>
    </row>
    <row r="27" spans="2:14" x14ac:dyDescent="0.3">
      <c r="B27" s="6">
        <v>2012</v>
      </c>
      <c r="C27" s="5" t="s">
        <v>31</v>
      </c>
      <c r="D27" s="5">
        <v>89.709333249898293</v>
      </c>
      <c r="E27" s="5">
        <v>111.07195223000723</v>
      </c>
      <c r="F27" s="5">
        <v>97.851275204331685</v>
      </c>
      <c r="G27">
        <v>45.309060658954422</v>
      </c>
      <c r="H27" s="5">
        <v>39.545362211179928</v>
      </c>
      <c r="I27" s="5">
        <v>11.297954957959343</v>
      </c>
      <c r="J27" s="5">
        <v>3.2077362543626102</v>
      </c>
      <c r="K27" s="5">
        <v>4.5969728096708273</v>
      </c>
      <c r="L27" s="5">
        <v>137.85</v>
      </c>
      <c r="N27" s="5"/>
    </row>
    <row r="28" spans="2:14" x14ac:dyDescent="0.3">
      <c r="B28" s="6">
        <v>2012</v>
      </c>
      <c r="C28" s="5" t="s">
        <v>32</v>
      </c>
      <c r="D28" s="5">
        <v>89.44025531116047</v>
      </c>
      <c r="E28" s="5">
        <v>110.29906795623945</v>
      </c>
      <c r="F28" s="5">
        <v>98.45805523915574</v>
      </c>
      <c r="G28">
        <v>48.093861259908927</v>
      </c>
      <c r="H28" s="5">
        <v>36.571190450998991</v>
      </c>
      <c r="I28" s="5">
        <v>10.885288164717698</v>
      </c>
      <c r="J28" s="5">
        <v>3.22151423763238</v>
      </c>
      <c r="K28" s="5">
        <v>5.0751488401798728</v>
      </c>
      <c r="L28" s="5">
        <v>112.71</v>
      </c>
      <c r="N28" s="5"/>
    </row>
    <row r="29" spans="2:14" x14ac:dyDescent="0.3">
      <c r="B29" s="6">
        <v>2012</v>
      </c>
      <c r="C29" s="5" t="s">
        <v>33</v>
      </c>
      <c r="D29" s="5">
        <v>91.111041581927964</v>
      </c>
      <c r="E29" s="5">
        <v>109.33702682416151</v>
      </c>
      <c r="F29" s="5">
        <v>98.451046284457945</v>
      </c>
      <c r="G29">
        <v>46.051018744251074</v>
      </c>
      <c r="H29" s="5">
        <v>39.841445913789201</v>
      </c>
      <c r="I29" s="5">
        <v>11.13587826695834</v>
      </c>
      <c r="J29" s="5">
        <v>3.143101562757824</v>
      </c>
      <c r="K29" s="5">
        <v>4.345813015338706</v>
      </c>
      <c r="L29" s="5">
        <v>132.28333333333333</v>
      </c>
      <c r="N29" s="5"/>
    </row>
    <row r="30" spans="2:14" x14ac:dyDescent="0.3">
      <c r="B30" s="6">
        <v>2012</v>
      </c>
      <c r="C30" s="5" t="s">
        <v>34</v>
      </c>
      <c r="D30" s="5">
        <v>90.68865179437438</v>
      </c>
      <c r="E30" s="5">
        <v>108.5756983999011</v>
      </c>
      <c r="F30" s="5">
        <v>98.943492745774037</v>
      </c>
      <c r="G30">
        <v>46.247594696699331</v>
      </c>
      <c r="H30" s="5">
        <v>39.500231556702836</v>
      </c>
      <c r="I30" s="5">
        <v>10.243351056215371</v>
      </c>
      <c r="J30" s="5">
        <v>3.249447216068301</v>
      </c>
      <c r="K30" s="5">
        <v>3.9496561041300566</v>
      </c>
      <c r="L30" s="5">
        <v>141.38666666666666</v>
      </c>
      <c r="N30" s="5"/>
    </row>
    <row r="31" spans="2:14" x14ac:dyDescent="0.3">
      <c r="B31" s="6">
        <v>2013</v>
      </c>
      <c r="C31" s="5" t="s">
        <v>31</v>
      </c>
      <c r="D31" s="5">
        <v>89.665529864522384</v>
      </c>
      <c r="E31" s="5">
        <v>102.56768455460924</v>
      </c>
      <c r="F31" s="5">
        <v>99.696989072685824</v>
      </c>
      <c r="G31">
        <v>46.615766961321313</v>
      </c>
      <c r="H31" s="5">
        <v>38.003598764352908</v>
      </c>
      <c r="I31" s="5">
        <v>10.180725152946412</v>
      </c>
      <c r="J31" s="5">
        <v>3.1873227428204336</v>
      </c>
      <c r="K31" s="5">
        <v>4.0525601194683745</v>
      </c>
      <c r="L31" s="5">
        <v>140.87</v>
      </c>
      <c r="N31" s="5"/>
    </row>
    <row r="32" spans="2:14" x14ac:dyDescent="0.3">
      <c r="B32" s="6">
        <v>2013</v>
      </c>
      <c r="C32" s="5" t="s">
        <v>32</v>
      </c>
      <c r="D32" s="5">
        <v>88.88019774099682</v>
      </c>
      <c r="E32" s="5">
        <v>100.04074927758866</v>
      </c>
      <c r="F32" s="5">
        <v>100.14883077241126</v>
      </c>
      <c r="G32">
        <v>48.138909428850852</v>
      </c>
      <c r="H32" s="5">
        <v>36.781732453658186</v>
      </c>
      <c r="I32" s="5">
        <v>10.357728491009333</v>
      </c>
      <c r="J32" s="5">
        <v>3.2331839319393221</v>
      </c>
      <c r="K32" s="5">
        <v>4.5100141514756276</v>
      </c>
      <c r="L32" s="5">
        <v>128.71333333333334</v>
      </c>
      <c r="N32" s="5"/>
    </row>
    <row r="33" spans="2:14" x14ac:dyDescent="0.3">
      <c r="B33" s="6">
        <v>2013</v>
      </c>
      <c r="C33" s="5" t="s">
        <v>33</v>
      </c>
      <c r="D33" s="5">
        <v>90.306936578955586</v>
      </c>
      <c r="E33" s="5">
        <v>99.792446606217695</v>
      </c>
      <c r="F33" s="5">
        <v>100.55470990382992</v>
      </c>
      <c r="G33">
        <v>46.222398610229227</v>
      </c>
      <c r="H33" s="5">
        <v>39.464042404364847</v>
      </c>
      <c r="I33" s="5">
        <v>11.321136512984712</v>
      </c>
      <c r="J33" s="5">
        <v>3.217525192301967</v>
      </c>
      <c r="K33" s="5">
        <v>3.8688320884457381</v>
      </c>
      <c r="L33" s="5">
        <v>141.86333333333332</v>
      </c>
      <c r="N33" s="5"/>
    </row>
    <row r="34" spans="2:14" x14ac:dyDescent="0.3">
      <c r="B34" s="6">
        <v>2013</v>
      </c>
      <c r="C34" s="5" t="s">
        <v>34</v>
      </c>
      <c r="D34" s="5">
        <v>90.882638215324917</v>
      </c>
      <c r="E34" s="5">
        <v>102.40178004720677</v>
      </c>
      <c r="F34" s="5">
        <v>101.23757753340227</v>
      </c>
      <c r="G34">
        <v>47.293673390823862</v>
      </c>
      <c r="H34" s="5">
        <v>38.888244889270162</v>
      </c>
      <c r="I34" s="5">
        <v>11.269124478872152</v>
      </c>
      <c r="J34" s="5">
        <v>3.4589913563086188</v>
      </c>
      <c r="K34" s="5">
        <v>3.0744307352650968</v>
      </c>
      <c r="L34" s="5">
        <v>147.04</v>
      </c>
      <c r="N34" s="5"/>
    </row>
    <row r="35" spans="2:14" x14ac:dyDescent="0.3">
      <c r="B35" s="6">
        <v>2014</v>
      </c>
      <c r="C35" s="5" t="s">
        <v>31</v>
      </c>
      <c r="D35">
        <v>90.810675510778751</v>
      </c>
      <c r="E35" s="5">
        <v>98.330519451164207</v>
      </c>
      <c r="F35" s="5">
        <v>101.92654430143763</v>
      </c>
      <c r="G35">
        <v>46.33935788817233</v>
      </c>
      <c r="H35" s="5">
        <v>37.967360337770408</v>
      </c>
      <c r="I35" s="5">
        <v>11.362765520144077</v>
      </c>
      <c r="J35" s="5">
        <v>3.2013332670863877</v>
      </c>
      <c r="K35" s="5">
        <v>3.8152090113396464</v>
      </c>
      <c r="L35" s="5">
        <v>156.35</v>
      </c>
      <c r="N35" s="5"/>
    </row>
    <row r="36" spans="2:14" x14ac:dyDescent="0.3">
      <c r="B36" s="6">
        <v>2014</v>
      </c>
      <c r="C36" s="5" t="s">
        <v>32</v>
      </c>
      <c r="D36" s="5">
        <v>90.641719595757309</v>
      </c>
      <c r="E36" s="5">
        <v>97.942275886743815</v>
      </c>
      <c r="F36" s="5">
        <v>103.32948093551687</v>
      </c>
      <c r="G36">
        <v>48.610467409604588</v>
      </c>
      <c r="H36" s="5">
        <v>36.380478914964556</v>
      </c>
      <c r="I36" s="5">
        <v>10.817592705262644</v>
      </c>
      <c r="J36" s="5">
        <v>3.2510797082540415</v>
      </c>
      <c r="K36" s="5">
        <v>4.7321909060019944</v>
      </c>
      <c r="L36" s="5">
        <v>136.68999999999997</v>
      </c>
      <c r="N36" s="5"/>
    </row>
    <row r="37" spans="2:14" x14ac:dyDescent="0.3">
      <c r="B37" s="6">
        <v>2014</v>
      </c>
      <c r="C37" s="5" t="s">
        <v>33</v>
      </c>
      <c r="D37" s="5">
        <v>90.450861988047919</v>
      </c>
      <c r="E37" s="5">
        <v>99.522389651177562</v>
      </c>
      <c r="F37" s="5">
        <v>103.91088720645895</v>
      </c>
      <c r="G37">
        <v>46.061597353885077</v>
      </c>
      <c r="H37" s="5">
        <v>39.780677307448691</v>
      </c>
      <c r="I37" s="5">
        <v>11.176970304894111</v>
      </c>
      <c r="J37" s="5">
        <v>3.111708429971535</v>
      </c>
      <c r="K37" s="5">
        <v>3.8857773279151595</v>
      </c>
      <c r="L37" s="5">
        <v>152.91</v>
      </c>
      <c r="N37" s="5"/>
    </row>
    <row r="38" spans="2:14" x14ac:dyDescent="0.3">
      <c r="B38" s="6">
        <v>2014</v>
      </c>
      <c r="C38" s="5" t="s">
        <v>34</v>
      </c>
      <c r="D38" s="5">
        <v>90.097306091799354</v>
      </c>
      <c r="E38" s="5">
        <v>108.31803685378578</v>
      </c>
      <c r="F38" s="5">
        <v>104.51901511718644</v>
      </c>
      <c r="G38">
        <v>47.94980940647843</v>
      </c>
      <c r="H38" s="5">
        <v>39.379907742123258</v>
      </c>
      <c r="I38" s="5">
        <v>10.265456245982145</v>
      </c>
      <c r="J38" s="5">
        <v>3.2003181601495623</v>
      </c>
      <c r="K38" s="5">
        <v>2.753755228733568</v>
      </c>
      <c r="L38" s="5">
        <v>154.80333333333334</v>
      </c>
      <c r="N38" s="5"/>
    </row>
    <row r="39" spans="2:14" x14ac:dyDescent="0.3">
      <c r="B39" s="6">
        <v>2015</v>
      </c>
      <c r="C39" s="5" t="s">
        <v>31</v>
      </c>
      <c r="D39" s="5">
        <v>89.862645098714054</v>
      </c>
      <c r="E39" s="5">
        <v>124.32851750497025</v>
      </c>
      <c r="F39" s="5">
        <v>103.35370900488091</v>
      </c>
      <c r="G39">
        <v>47.286889588355749</v>
      </c>
      <c r="H39" s="5">
        <v>37.161197673013298</v>
      </c>
      <c r="I39" s="5">
        <v>9.7635132625877308</v>
      </c>
      <c r="J39" s="5">
        <v>3.1104277323851552</v>
      </c>
      <c r="K39" s="5">
        <v>3.7547272450035121</v>
      </c>
      <c r="L39" s="5">
        <v>159.35333333333332</v>
      </c>
      <c r="N39" s="5"/>
    </row>
    <row r="40" spans="2:14" x14ac:dyDescent="0.3">
      <c r="B40" s="6">
        <v>2015</v>
      </c>
      <c r="C40" s="5" t="s">
        <v>32</v>
      </c>
      <c r="D40" s="5">
        <v>90.529082319076352</v>
      </c>
      <c r="E40" s="5">
        <v>113.76691656324647</v>
      </c>
      <c r="F40" s="5">
        <v>101.91687329183056</v>
      </c>
      <c r="G40">
        <v>49.18248452123202</v>
      </c>
      <c r="H40" s="5">
        <v>35.940911379775443</v>
      </c>
      <c r="I40" s="5">
        <v>9.5653082364082884</v>
      </c>
      <c r="J40" s="5">
        <v>3.173726129426699</v>
      </c>
      <c r="K40" s="5">
        <v>3.938552616009515</v>
      </c>
      <c r="L40" s="5">
        <v>134.63</v>
      </c>
      <c r="N40" s="5"/>
    </row>
    <row r="41" spans="2:14" x14ac:dyDescent="0.3">
      <c r="B41" s="6">
        <v>2015</v>
      </c>
      <c r="C41" s="5" t="s">
        <v>33</v>
      </c>
      <c r="D41" s="5">
        <v>92.418885516723506</v>
      </c>
      <c r="E41" s="5">
        <v>117.87993653110225</v>
      </c>
      <c r="F41" s="5">
        <v>101.97988649031565</v>
      </c>
      <c r="G41">
        <v>47.370657892696407</v>
      </c>
      <c r="H41" s="5">
        <v>38.395990650995657</v>
      </c>
      <c r="I41" s="5">
        <v>10.039274366157697</v>
      </c>
      <c r="J41" s="5">
        <v>3.0348621154290365</v>
      </c>
      <c r="K41" s="5">
        <v>2.981937633617616</v>
      </c>
      <c r="L41" s="5">
        <v>160.01</v>
      </c>
      <c r="N41" s="5"/>
    </row>
    <row r="42" spans="2:14" x14ac:dyDescent="0.3">
      <c r="B42" s="6">
        <v>2015</v>
      </c>
      <c r="C42" s="5" t="s">
        <v>34</v>
      </c>
      <c r="D42" s="5">
        <v>92.6598041362911</v>
      </c>
      <c r="E42" s="5">
        <v>119.61115780974342</v>
      </c>
      <c r="F42" s="5">
        <v>100.59871805207672</v>
      </c>
      <c r="G42">
        <v>48.325799298117069</v>
      </c>
      <c r="H42" s="5">
        <v>37.140640693441895</v>
      </c>
      <c r="I42" s="5">
        <v>9.5052993761322444</v>
      </c>
      <c r="J42" s="5">
        <v>3.160970648073385</v>
      </c>
      <c r="K42" s="5">
        <v>2.1214343457644178</v>
      </c>
      <c r="L42" s="5">
        <v>161.66999999999999</v>
      </c>
      <c r="N42" s="5"/>
    </row>
    <row r="43" spans="2:14" x14ac:dyDescent="0.3">
      <c r="B43" s="6">
        <v>2016</v>
      </c>
      <c r="C43" s="5" t="s">
        <v>31</v>
      </c>
      <c r="D43" s="5">
        <v>92.468946528581682</v>
      </c>
      <c r="E43" s="5">
        <v>122.35609261935072</v>
      </c>
      <c r="F43" s="5">
        <v>99.919995140907375</v>
      </c>
      <c r="G43">
        <v>48.180120673452997</v>
      </c>
      <c r="H43" s="5">
        <v>36.31895164519721</v>
      </c>
      <c r="I43" s="5">
        <v>9.2242906883223679</v>
      </c>
      <c r="J43" s="5">
        <v>3.099968829170797</v>
      </c>
      <c r="K43" s="5">
        <v>3.0304184564914851</v>
      </c>
      <c r="L43" s="5">
        <v>166.10666666666665</v>
      </c>
      <c r="N43" s="5"/>
    </row>
    <row r="44" spans="2:14" x14ac:dyDescent="0.3">
      <c r="B44" s="6">
        <v>2016</v>
      </c>
      <c r="C44" s="5" t="s">
        <v>32</v>
      </c>
      <c r="D44" s="5">
        <v>92.885078689652985</v>
      </c>
      <c r="E44" s="5">
        <v>120.70296577878663</v>
      </c>
      <c r="F44" s="5">
        <v>99.562167785445808</v>
      </c>
      <c r="G44">
        <v>48.598177087041947</v>
      </c>
      <c r="H44" s="5">
        <v>35.991490366117553</v>
      </c>
      <c r="I44" s="5">
        <v>9.4493586129968588</v>
      </c>
      <c r="J44" s="5">
        <v>3.1360093158155662</v>
      </c>
      <c r="K44" s="5">
        <v>3.6764107766772427</v>
      </c>
      <c r="L44" s="5">
        <v>147.72333333333333</v>
      </c>
      <c r="N44" s="5"/>
    </row>
    <row r="45" spans="2:14" x14ac:dyDescent="0.3">
      <c r="B45" s="6">
        <v>2016</v>
      </c>
      <c r="C45" s="5" t="s">
        <v>33</v>
      </c>
      <c r="D45" s="5">
        <v>94.665373423860316</v>
      </c>
      <c r="E45" s="5">
        <v>122.33494612761081</v>
      </c>
      <c r="F45" s="5">
        <v>99.824734011432881</v>
      </c>
      <c r="G45">
        <v>47.145338089924813</v>
      </c>
      <c r="H45" s="5">
        <v>38.136056316500863</v>
      </c>
      <c r="I45" s="5">
        <v>9.5820914685446024</v>
      </c>
      <c r="J45" s="5">
        <v>3.1499013191221001</v>
      </c>
      <c r="K45" s="5">
        <v>3.1820690414774582</v>
      </c>
      <c r="L45" s="5">
        <v>160.77666666666664</v>
      </c>
      <c r="N45" s="5"/>
    </row>
    <row r="46" spans="2:14" x14ac:dyDescent="0.3">
      <c r="B46" s="6">
        <v>2016</v>
      </c>
      <c r="C46" s="5" t="s">
        <v>34</v>
      </c>
      <c r="D46" s="5">
        <v>96.001376677826087</v>
      </c>
      <c r="E46" s="5">
        <v>119.42137178287767</v>
      </c>
      <c r="F46" s="5">
        <v>99.779411684180218</v>
      </c>
      <c r="G46">
        <v>49.018428484921216</v>
      </c>
      <c r="H46" s="5">
        <v>36.493113903773569</v>
      </c>
      <c r="I46" s="5">
        <v>8.6234288598667064</v>
      </c>
      <c r="J46" s="5">
        <v>3.3165739591219907</v>
      </c>
      <c r="K46" s="5">
        <v>2.1996839544914017</v>
      </c>
      <c r="L46" s="5">
        <v>163.63333333333333</v>
      </c>
      <c r="N46" s="5"/>
    </row>
    <row r="47" spans="2:14" x14ac:dyDescent="0.3">
      <c r="B47" s="6">
        <v>2017</v>
      </c>
      <c r="C47" s="5" t="s">
        <v>31</v>
      </c>
      <c r="D47" s="5">
        <v>96.085854635336815</v>
      </c>
      <c r="E47" s="5">
        <v>120.03335658290735</v>
      </c>
      <c r="F47" s="5">
        <v>99.844109727544605</v>
      </c>
      <c r="G47">
        <v>48.270434190146347</v>
      </c>
      <c r="H47" s="5">
        <v>36.696679120889641</v>
      </c>
      <c r="I47" s="5">
        <v>9.9620003462952944</v>
      </c>
      <c r="J47" s="5">
        <v>3.1182768504339893</v>
      </c>
      <c r="K47" s="5">
        <v>3.6250285313489048</v>
      </c>
      <c r="L47" s="5">
        <v>173.71666666666667</v>
      </c>
      <c r="N47" s="5"/>
    </row>
    <row r="48" spans="2:14" x14ac:dyDescent="0.3">
      <c r="B48" s="6">
        <v>2017</v>
      </c>
      <c r="C48" s="5" t="s">
        <v>32</v>
      </c>
      <c r="D48" s="5">
        <v>96.470698663996743</v>
      </c>
      <c r="E48" s="5">
        <v>119.20019199548285</v>
      </c>
      <c r="F48" s="5">
        <v>101.26140123999529</v>
      </c>
      <c r="G48">
        <v>48.736562475363257</v>
      </c>
      <c r="H48" s="5">
        <v>36.046904633021505</v>
      </c>
      <c r="I48" s="5">
        <v>9.4187876357553559</v>
      </c>
      <c r="J48" s="5">
        <v>3.3945504391759975</v>
      </c>
      <c r="K48" s="5">
        <v>4.1259858135843199</v>
      </c>
      <c r="L48" s="5">
        <v>151.35</v>
      </c>
      <c r="N48" s="5"/>
    </row>
    <row r="49" spans="2:14" x14ac:dyDescent="0.3">
      <c r="B49" s="6">
        <v>2017</v>
      </c>
      <c r="C49" s="5" t="s">
        <v>33</v>
      </c>
      <c r="D49" s="5">
        <v>97.740996839898614</v>
      </c>
      <c r="E49" s="5">
        <v>119.00994772500404</v>
      </c>
      <c r="F49" s="5">
        <v>100.91108829269531</v>
      </c>
      <c r="G49">
        <v>48.42979030427891</v>
      </c>
      <c r="H49" s="5">
        <v>36.816162097220463</v>
      </c>
      <c r="I49" s="5">
        <v>9.6286402426859787</v>
      </c>
      <c r="J49" s="5">
        <v>3.5385612016908334</v>
      </c>
      <c r="K49" s="5">
        <v>3.0773558776567675</v>
      </c>
      <c r="L49" s="5">
        <v>163.88333333333335</v>
      </c>
      <c r="N49" s="5"/>
    </row>
    <row r="50" spans="2:14" x14ac:dyDescent="0.3">
      <c r="B50" s="6">
        <v>2017</v>
      </c>
      <c r="C50" s="5" t="s">
        <v>34</v>
      </c>
      <c r="D50" s="5">
        <v>97.593942617565133</v>
      </c>
      <c r="E50" s="5">
        <v>114.82742286240267</v>
      </c>
      <c r="F50" s="5">
        <v>102.34613807017364</v>
      </c>
      <c r="G50">
        <v>49.478584487627124</v>
      </c>
      <c r="H50" s="5">
        <v>35.374783695961376</v>
      </c>
      <c r="I50" s="5">
        <v>8.5345915936400143</v>
      </c>
      <c r="J50" s="5">
        <v>3.4157311343637904</v>
      </c>
      <c r="K50" s="5">
        <v>2.3184280337499441</v>
      </c>
      <c r="L50" s="5">
        <v>167.52333333333334</v>
      </c>
      <c r="N50" s="5"/>
    </row>
    <row r="51" spans="2:14" x14ac:dyDescent="0.3">
      <c r="B51" s="6">
        <v>2018</v>
      </c>
      <c r="C51" s="5" t="s">
        <v>31</v>
      </c>
      <c r="D51" s="5">
        <v>97.972529019742808</v>
      </c>
      <c r="E51" s="5">
        <v>108.33333097142474</v>
      </c>
      <c r="F51" s="5">
        <v>102.91416667277424</v>
      </c>
      <c r="G51">
        <v>49.726481367730145</v>
      </c>
      <c r="H51" s="5">
        <v>35.21470045010669</v>
      </c>
      <c r="I51" s="5">
        <v>10.191761291466069</v>
      </c>
      <c r="J51" s="5">
        <v>3.4025223190240386</v>
      </c>
      <c r="K51" s="5">
        <v>3.6216258958528909</v>
      </c>
      <c r="L51" s="5">
        <v>181.02999999999997</v>
      </c>
      <c r="N51" s="5"/>
    </row>
    <row r="52" spans="2:14" x14ac:dyDescent="0.3">
      <c r="B52" s="6">
        <v>2018</v>
      </c>
      <c r="C52" s="5" t="s">
        <v>32</v>
      </c>
      <c r="D52" s="5">
        <v>98.879884859672714</v>
      </c>
      <c r="E52" s="5">
        <v>108.22504116474403</v>
      </c>
      <c r="F52" s="5">
        <v>104.11050762775612</v>
      </c>
      <c r="G52">
        <v>49.442984627169658</v>
      </c>
      <c r="H52" s="5">
        <v>36.359928105741375</v>
      </c>
      <c r="I52" s="5">
        <v>10.118712681856874</v>
      </c>
      <c r="J52" s="5">
        <v>3.9495585581702186</v>
      </c>
      <c r="K52" s="5">
        <v>4.3419403534125163</v>
      </c>
      <c r="L52" s="5">
        <v>145.01</v>
      </c>
      <c r="N52" s="5"/>
    </row>
    <row r="53" spans="2:14" x14ac:dyDescent="0.3">
      <c r="B53" s="6">
        <v>2018</v>
      </c>
      <c r="C53" s="5" t="s">
        <v>33</v>
      </c>
      <c r="D53" s="5">
        <v>98.879884859672714</v>
      </c>
      <c r="E53" s="5">
        <v>108.22504116474403</v>
      </c>
      <c r="F53" s="5">
        <v>104.11050762775612</v>
      </c>
      <c r="G53">
        <v>48.196268697825154</v>
      </c>
      <c r="H53" s="5">
        <v>39.16104316110917</v>
      </c>
      <c r="I53" s="5">
        <v>10.082113667471496</v>
      </c>
      <c r="J53" s="5">
        <v>3.9352731490444555</v>
      </c>
      <c r="K53" s="5">
        <v>4.3262357136573097</v>
      </c>
      <c r="L53" s="5">
        <v>145.01</v>
      </c>
      <c r="N53" s="5"/>
    </row>
    <row r="54" spans="2:14" x14ac:dyDescent="0.3">
      <c r="B54" s="6">
        <v>2018</v>
      </c>
      <c r="C54" s="5" t="s">
        <v>34</v>
      </c>
      <c r="D54" s="5">
        <v>100.96680329151151</v>
      </c>
      <c r="E54" s="5">
        <v>101.39567519563917</v>
      </c>
      <c r="F54" s="5">
        <v>105.13007465800388</v>
      </c>
      <c r="G54">
        <v>48.413367865032711</v>
      </c>
      <c r="H54" s="5">
        <v>38.551755744724247</v>
      </c>
      <c r="I54" s="5">
        <v>10.321771041816028</v>
      </c>
      <c r="J54" s="5">
        <v>4.1532460553264778</v>
      </c>
      <c r="K54" s="5">
        <v>2.3860059166887906</v>
      </c>
      <c r="L54" s="5">
        <v>170.16333333333333</v>
      </c>
      <c r="N54" s="5"/>
    </row>
    <row r="55" spans="2:14" x14ac:dyDescent="0.3">
      <c r="B55" s="6">
        <v>2019</v>
      </c>
      <c r="C55" s="5" t="s">
        <v>31</v>
      </c>
      <c r="D55" s="5">
        <v>101.46741341009356</v>
      </c>
      <c r="E55" s="5">
        <v>107.69979736397885</v>
      </c>
      <c r="F55" s="5">
        <v>104.13048988802439</v>
      </c>
      <c r="G55">
        <v>47.984715990266999</v>
      </c>
      <c r="H55" s="5">
        <v>37.505522384385536</v>
      </c>
      <c r="I55" s="5">
        <v>10.777174116441033</v>
      </c>
      <c r="J55" s="5">
        <v>4.1455843200154296</v>
      </c>
      <c r="K55" s="5">
        <v>3.9273801080610156</v>
      </c>
      <c r="L55" s="5">
        <v>169.18333333333331</v>
      </c>
      <c r="N55" s="5"/>
    </row>
    <row r="56" spans="2:14" x14ac:dyDescent="0.3">
      <c r="B56" s="6">
        <v>2019</v>
      </c>
      <c r="C56" s="5" t="s">
        <v>32</v>
      </c>
      <c r="D56" s="5">
        <v>99.799755952567182</v>
      </c>
      <c r="E56" s="5">
        <v>108.41604169154789</v>
      </c>
      <c r="F56" s="5">
        <v>103.52862960024783</v>
      </c>
      <c r="G56">
        <v>47.876363768660177</v>
      </c>
      <c r="H56" s="5">
        <v>36.768797359493618</v>
      </c>
      <c r="I56" s="5">
        <v>10.914312194282546</v>
      </c>
      <c r="J56" s="5">
        <v>4.4521829836849287</v>
      </c>
      <c r="K56" s="5">
        <v>4.3932245062247199</v>
      </c>
      <c r="L56" s="5">
        <v>143.54</v>
      </c>
      <c r="N56" s="5"/>
    </row>
    <row r="57" spans="2:14" x14ac:dyDescent="0.3">
      <c r="B57" s="6">
        <v>2019</v>
      </c>
      <c r="C57" s="5" t="s">
        <v>33</v>
      </c>
      <c r="D57" s="5">
        <v>100.50373893182314</v>
      </c>
      <c r="E57" s="5">
        <v>109.71467976188723</v>
      </c>
      <c r="F57" s="5">
        <v>103.53277431865085</v>
      </c>
      <c r="G57">
        <v>46.548177694192894</v>
      </c>
      <c r="H57" s="5">
        <v>39.012708983561218</v>
      </c>
      <c r="I57" s="5">
        <v>11.467151695662512</v>
      </c>
      <c r="J57" s="5">
        <v>4.5668257795641782</v>
      </c>
      <c r="K57" s="5">
        <v>3.8333724238527087</v>
      </c>
      <c r="L57" s="5">
        <v>165.28</v>
      </c>
      <c r="N57" s="5"/>
    </row>
    <row r="58" spans="2:14" x14ac:dyDescent="0.3">
      <c r="B58" s="6">
        <v>2019</v>
      </c>
      <c r="C58" s="5" t="s">
        <v>34</v>
      </c>
      <c r="D58" s="5">
        <v>101.05441006226336</v>
      </c>
      <c r="E58" s="5">
        <v>110.91987348356899</v>
      </c>
      <c r="F58" s="5">
        <v>103.00444066140609</v>
      </c>
      <c r="G58">
        <v>47.19688240606586</v>
      </c>
      <c r="H58" s="5">
        <v>38.084173211796532</v>
      </c>
      <c r="I58" s="5">
        <v>10.632961709974854</v>
      </c>
      <c r="J58" s="5">
        <v>4.4881633713153457</v>
      </c>
      <c r="K58" s="5">
        <v>2.8585156176508786</v>
      </c>
      <c r="L58" s="5">
        <v>173.87</v>
      </c>
      <c r="N58" s="5"/>
    </row>
    <row r="59" spans="2:14" x14ac:dyDescent="0.3">
      <c r="B59" s="6">
        <v>2020</v>
      </c>
      <c r="C59" s="5" t="s">
        <v>31</v>
      </c>
      <c r="D59" s="5">
        <v>101.10759988736271</v>
      </c>
      <c r="E59" s="5">
        <v>122.7056616491829</v>
      </c>
      <c r="F59" s="5">
        <v>101.29792867697809</v>
      </c>
      <c r="G59">
        <v>47.321217212778592</v>
      </c>
      <c r="H59" s="5">
        <v>38.589541331732001</v>
      </c>
      <c r="I59" s="5">
        <v>10.692532165514745</v>
      </c>
      <c r="J59" s="5">
        <v>4.3398647605450229</v>
      </c>
      <c r="K59" s="5">
        <v>4.3970322198600078</v>
      </c>
      <c r="L59" s="5">
        <v>180.88000000000002</v>
      </c>
      <c r="N59" s="5"/>
    </row>
    <row r="60" spans="2:14" x14ac:dyDescent="0.3">
      <c r="B60" s="6">
        <v>2020</v>
      </c>
      <c r="C60" s="5" t="s">
        <v>32</v>
      </c>
      <c r="D60" s="5">
        <v>100.62576264822751</v>
      </c>
      <c r="E60" s="5">
        <v>133.247019532481</v>
      </c>
      <c r="F60" s="5">
        <v>88.409370803946487</v>
      </c>
      <c r="G60">
        <v>48.383349653024318</v>
      </c>
      <c r="H60" s="5">
        <v>37.383094016655022</v>
      </c>
      <c r="I60" s="5">
        <v>7.7709389219773231</v>
      </c>
      <c r="J60" s="5">
        <v>4.9751237856073454</v>
      </c>
      <c r="K60" s="5">
        <v>4.8626196760411027</v>
      </c>
      <c r="L60" s="5">
        <v>125.92666666666666</v>
      </c>
      <c r="N60" s="5"/>
    </row>
    <row r="61" spans="2:14" x14ac:dyDescent="0.3">
      <c r="B61" s="6">
        <v>2020</v>
      </c>
      <c r="C61" s="5" t="s">
        <v>33</v>
      </c>
      <c r="D61" s="5">
        <v>102.60943024310878</v>
      </c>
      <c r="E61" s="5">
        <v>132.28875273915398</v>
      </c>
      <c r="F61" s="5">
        <v>96.650958015434711</v>
      </c>
      <c r="G61">
        <v>44.527517180944656</v>
      </c>
      <c r="H61" s="5">
        <v>41.791968614210049</v>
      </c>
      <c r="I61" s="5">
        <v>10.594958164567927</v>
      </c>
      <c r="J61" s="5">
        <v>5.0631577659849674</v>
      </c>
      <c r="K61" s="5">
        <v>4.1244957037887957</v>
      </c>
      <c r="L61" s="5">
        <v>179.22000000000003</v>
      </c>
      <c r="N61" s="5"/>
    </row>
    <row r="62" spans="2:14" x14ac:dyDescent="0.3">
      <c r="B62" s="6">
        <v>2020</v>
      </c>
      <c r="C62" s="5" t="s">
        <v>34</v>
      </c>
      <c r="D62" s="5">
        <v>102.82218954350613</v>
      </c>
      <c r="E62" s="5">
        <v>128.38467474386883</v>
      </c>
      <c r="F62" s="5">
        <v>98.287919603245996</v>
      </c>
      <c r="G62">
        <v>46.606563233471768</v>
      </c>
      <c r="H62" s="5">
        <v>38.488464091137445</v>
      </c>
      <c r="I62" s="5">
        <v>9.6383725094889297</v>
      </c>
      <c r="J62" s="5">
        <v>4.9957026578771684</v>
      </c>
      <c r="K62" s="5">
        <v>3.3545150998803148</v>
      </c>
      <c r="L62" s="5">
        <v>177.32333333333335</v>
      </c>
      <c r="N62" s="5"/>
    </row>
    <row r="63" spans="2:14" x14ac:dyDescent="0.3">
      <c r="B63" s="6">
        <v>2021</v>
      </c>
      <c r="C63" s="5" t="s">
        <v>31</v>
      </c>
      <c r="D63" s="5">
        <v>102.24961672037794</v>
      </c>
      <c r="E63" s="5">
        <v>123.32046977025941</v>
      </c>
      <c r="F63" s="5">
        <v>98.568008215977571</v>
      </c>
      <c r="G63">
        <v>44.967813140358508</v>
      </c>
      <c r="H63" s="5">
        <v>39.770617085403515</v>
      </c>
      <c r="I63" s="5">
        <v>11.383269121554086</v>
      </c>
      <c r="J63" s="5">
        <v>4.8621497646514866</v>
      </c>
      <c r="K63" s="5">
        <v>4.757702360003119</v>
      </c>
      <c r="L63" s="5">
        <v>198.34666666666666</v>
      </c>
      <c r="N63" s="5"/>
    </row>
    <row r="64" spans="2:14" x14ac:dyDescent="0.3">
      <c r="B64" s="6">
        <v>2021</v>
      </c>
      <c r="C64" s="5" t="s">
        <v>32</v>
      </c>
      <c r="D64" s="5">
        <v>103.70764369074807</v>
      </c>
      <c r="E64" s="5">
        <v>126.3373368477978</v>
      </c>
      <c r="F64" s="5">
        <v>100.13595855753356</v>
      </c>
      <c r="G64">
        <v>45.623174234165802</v>
      </c>
      <c r="H64" s="5">
        <v>38.595665059855286</v>
      </c>
      <c r="I64" s="5">
        <v>11.389890779283755</v>
      </c>
      <c r="J64" s="5">
        <v>5.1092528483750987</v>
      </c>
      <c r="K64" s="5">
        <v>5.3628316839992269</v>
      </c>
      <c r="L64" s="5">
        <v>174.41333333333333</v>
      </c>
      <c r="N64" s="5"/>
    </row>
    <row r="65" spans="2:14" x14ac:dyDescent="0.3">
      <c r="B65" s="6">
        <v>2021</v>
      </c>
      <c r="C65" s="5" t="s">
        <v>33</v>
      </c>
      <c r="D65" s="5">
        <v>104.61812834391912</v>
      </c>
      <c r="E65" s="5">
        <v>123.54805230242363</v>
      </c>
      <c r="F65" s="5">
        <v>100.78860006997162</v>
      </c>
      <c r="G65">
        <v>44.691616920831848</v>
      </c>
      <c r="H65" s="5">
        <v>40.129135290120296</v>
      </c>
      <c r="I65" s="5">
        <v>12.335526662821101</v>
      </c>
      <c r="J65" s="5">
        <v>4.9958100325710992</v>
      </c>
      <c r="K65" s="5">
        <v>4.0980235884544864</v>
      </c>
      <c r="L65" s="5">
        <v>191.84</v>
      </c>
      <c r="N65" s="5"/>
    </row>
    <row r="66" spans="2:14" x14ac:dyDescent="0.3">
      <c r="B66" s="6">
        <v>2021</v>
      </c>
      <c r="C66" s="5" t="s">
        <v>34</v>
      </c>
      <c r="D66" s="5">
        <v>104.70886392791213</v>
      </c>
      <c r="E66" s="5">
        <v>119.72214128780217</v>
      </c>
      <c r="F66" s="5">
        <v>102.04006914940355</v>
      </c>
      <c r="G66">
        <v>45.301406450470239</v>
      </c>
      <c r="H66" s="5">
        <v>39.633194270708003</v>
      </c>
      <c r="I66" s="5">
        <v>11.543341700051169</v>
      </c>
      <c r="J66" s="5">
        <v>5.098721094866276</v>
      </c>
      <c r="K66" s="5">
        <v>3.4488453406818955</v>
      </c>
      <c r="L66" s="5">
        <v>196.13333333333335</v>
      </c>
      <c r="N66" s="5"/>
    </row>
    <row r="67" spans="2:14" x14ac:dyDescent="0.3">
      <c r="B67" s="6">
        <v>2022</v>
      </c>
      <c r="C67" s="5" t="s">
        <v>31</v>
      </c>
      <c r="D67" s="5">
        <v>104.33027752573447</v>
      </c>
      <c r="E67" s="5">
        <v>125.14902092860366</v>
      </c>
      <c r="F67" s="5">
        <v>103.02273807679508</v>
      </c>
      <c r="G67">
        <v>45.52651391974792</v>
      </c>
      <c r="H67" s="5">
        <v>39.20192089269969</v>
      </c>
      <c r="I67" s="5">
        <v>12.574814609938542</v>
      </c>
      <c r="J67" s="5">
        <v>5.7017310047446257</v>
      </c>
      <c r="K67" s="5">
        <v>5.3611390215685635</v>
      </c>
      <c r="L67" s="5">
        <v>205.91</v>
      </c>
      <c r="N67" s="5"/>
    </row>
    <row r="68" spans="2:14" x14ac:dyDescent="0.3">
      <c r="B68" s="6">
        <v>2022</v>
      </c>
      <c r="C68" s="5" t="s">
        <v>32</v>
      </c>
      <c r="D68" s="5">
        <v>104.26144363442945</v>
      </c>
      <c r="E68" s="5">
        <v>122.10238863872566</v>
      </c>
      <c r="F68" s="5">
        <v>104.01918903529912</v>
      </c>
      <c r="G68">
        <v>45.029590108794551</v>
      </c>
      <c r="H68" s="5">
        <v>39.329805713080404</v>
      </c>
      <c r="I68" s="5">
        <v>12.279797542552915</v>
      </c>
      <c r="J68" s="5">
        <v>6.6622081959774908</v>
      </c>
      <c r="K68" s="5">
        <v>5.8217452921632171</v>
      </c>
      <c r="L68" s="5">
        <v>188.67</v>
      </c>
      <c r="N68" s="5"/>
    </row>
    <row r="69" spans="2:14" x14ac:dyDescent="0.3">
      <c r="B69" s="6">
        <v>2022</v>
      </c>
      <c r="C69" s="5" t="s">
        <v>33</v>
      </c>
      <c r="D69" s="5">
        <v>103.54494540220894</v>
      </c>
      <c r="E69" s="5">
        <v>116.27522982525517</v>
      </c>
      <c r="F69" s="5">
        <v>104.37728596594138</v>
      </c>
      <c r="G69">
        <v>43.108760872917479</v>
      </c>
      <c r="H69" s="5">
        <v>41.317260032366711</v>
      </c>
      <c r="I69" s="5">
        <v>12.315926767975395</v>
      </c>
      <c r="J69" s="5">
        <v>7.3307567383363716</v>
      </c>
      <c r="K69" s="5">
        <v>4.3036132128121221</v>
      </c>
      <c r="L69" s="5">
        <v>204.5</v>
      </c>
      <c r="N69" s="5"/>
    </row>
    <row r="70" spans="2:14" x14ac:dyDescent="0.3">
      <c r="B70" s="6">
        <v>2022</v>
      </c>
      <c r="C70" s="5" t="s">
        <v>34</v>
      </c>
      <c r="D70" s="5">
        <v>102.27777603954819</v>
      </c>
      <c r="E70" s="5">
        <v>117.49862386656351</v>
      </c>
      <c r="F70" s="5">
        <v>103.91334707998271</v>
      </c>
      <c r="G70">
        <v>43.967878013457309</v>
      </c>
      <c r="H70" s="5">
        <v>40.134414376419443</v>
      </c>
      <c r="I70" s="5">
        <v>10.28022315743805</v>
      </c>
      <c r="J70" s="5">
        <v>7.5901461183171994</v>
      </c>
      <c r="K70" s="5">
        <v>3.1713043066283051</v>
      </c>
      <c r="L70" s="5">
        <v>200.86666666666667</v>
      </c>
      <c r="N70" s="5"/>
    </row>
    <row r="71" spans="2:14" x14ac:dyDescent="0.3">
      <c r="B71" s="6">
        <v>2023</v>
      </c>
      <c r="C71" s="5" t="s">
        <v>31</v>
      </c>
      <c r="D71" s="5">
        <v>101.34538969368917</v>
      </c>
      <c r="E71" s="5">
        <v>134.4543434142131</v>
      </c>
      <c r="F71" s="5">
        <v>103.9084947267304</v>
      </c>
      <c r="G71">
        <v>44.970172664272688</v>
      </c>
      <c r="H71" s="5">
        <v>40.020504368178955</v>
      </c>
      <c r="I71" s="5">
        <v>10.976856565953657</v>
      </c>
      <c r="J71" s="5">
        <v>8.0551307930633058</v>
      </c>
      <c r="K71" s="5">
        <v>4.9307855069037094</v>
      </c>
      <c r="L71" s="5">
        <v>213.76</v>
      </c>
      <c r="N71" s="5"/>
    </row>
    <row r="72" spans="2:14" x14ac:dyDescent="0.3">
      <c r="B72" s="6">
        <v>2023</v>
      </c>
      <c r="C72" s="5" t="s">
        <v>32</v>
      </c>
      <c r="D72" s="5">
        <v>100.49435249209974</v>
      </c>
      <c r="E72" s="5">
        <v>139.37624379749801</v>
      </c>
      <c r="F72" s="5">
        <v>103.98387468662941</v>
      </c>
      <c r="G72">
        <v>45.53067639261694</v>
      </c>
      <c r="H72" s="5">
        <v>38.579394203679449</v>
      </c>
      <c r="I72" s="5">
        <v>10.030125196205679</v>
      </c>
      <c r="J72" s="5">
        <v>9.2114377294018688</v>
      </c>
      <c r="K72" s="5">
        <v>5.1387045984780331</v>
      </c>
      <c r="L72" s="5">
        <v>191.17666666666665</v>
      </c>
      <c r="N72" s="5"/>
    </row>
    <row r="73" spans="2:14" x14ac:dyDescent="0.3">
      <c r="B73" s="6">
        <v>2023</v>
      </c>
      <c r="C73" s="5" t="s">
        <v>33</v>
      </c>
      <c r="D73" s="5">
        <v>100.94803041206471</v>
      </c>
      <c r="E73" s="5">
        <v>141.22174916510306</v>
      </c>
      <c r="F73" s="5">
        <v>104.28360859065337</v>
      </c>
      <c r="G73">
        <v>43.64502671028837</v>
      </c>
      <c r="H73" s="5">
        <v>40.593112604350509</v>
      </c>
      <c r="I73" s="5">
        <v>9.8944228023072487</v>
      </c>
      <c r="J73" s="5">
        <v>8.9431335379856964</v>
      </c>
      <c r="K73" s="5">
        <v>4.0147522320584876</v>
      </c>
      <c r="L73" s="5">
        <v>212.65666666666667</v>
      </c>
      <c r="N73" s="5"/>
    </row>
    <row r="74" spans="2:14" x14ac:dyDescent="0.3">
      <c r="B74" s="6">
        <v>2023</v>
      </c>
      <c r="C74" s="5" t="s">
        <v>34</v>
      </c>
      <c r="D74" s="5">
        <v>100.94803041206468</v>
      </c>
      <c r="E74" s="5">
        <v>145.58663638714805</v>
      </c>
      <c r="F74" s="5">
        <v>103.81872619156233</v>
      </c>
      <c r="G74">
        <v>45.418083861587618</v>
      </c>
      <c r="H74" s="5">
        <v>38.125145357131458</v>
      </c>
      <c r="I74" s="5">
        <v>8.2739968358435743</v>
      </c>
      <c r="J74" s="5">
        <v>8.5190431537395455</v>
      </c>
      <c r="K74" s="5">
        <v>3.2908243665795269</v>
      </c>
      <c r="L74" s="5">
        <v>202.50666666666666</v>
      </c>
      <c r="N74" s="5"/>
    </row>
    <row r="75" spans="2:14" x14ac:dyDescent="0.3">
      <c r="B75" s="6"/>
      <c r="C75" s="6"/>
      <c r="D75" s="6"/>
      <c r="E75" s="6"/>
      <c r="F75" s="6"/>
      <c r="G75" s="6"/>
      <c r="H75" s="6"/>
      <c r="I75" s="11"/>
      <c r="J75" s="11"/>
      <c r="K75" s="11"/>
    </row>
    <row r="76" spans="2:14" x14ac:dyDescent="0.3">
      <c r="B76" s="6"/>
      <c r="C76" s="6"/>
      <c r="D76" s="6"/>
      <c r="E76" s="6"/>
      <c r="F76" s="6"/>
      <c r="G76" s="6"/>
      <c r="H76" s="6"/>
      <c r="I76" s="11"/>
      <c r="J76" s="11"/>
      <c r="K76" s="11"/>
    </row>
    <row r="77" spans="2:14" x14ac:dyDescent="0.3">
      <c r="B77" s="6"/>
      <c r="C77" s="6"/>
      <c r="D77" s="6"/>
      <c r="E77" s="6"/>
      <c r="F77" s="6"/>
      <c r="G77" s="6"/>
      <c r="H77" s="6"/>
      <c r="I77" s="11"/>
      <c r="J77" s="11"/>
      <c r="K77" s="11"/>
    </row>
    <row r="78" spans="2:14" x14ac:dyDescent="0.3">
      <c r="B78" s="6"/>
      <c r="C78" s="6"/>
      <c r="D78" s="6"/>
      <c r="E78" s="6"/>
      <c r="F78" s="6"/>
      <c r="G78" s="6"/>
      <c r="H78" s="6"/>
      <c r="I78" s="11"/>
      <c r="J78" s="11"/>
      <c r="K78" s="11"/>
    </row>
    <row r="79" spans="2:14" x14ac:dyDescent="0.3">
      <c r="B79" s="6"/>
      <c r="C79" s="6"/>
      <c r="D79" s="6"/>
      <c r="E79" s="6"/>
      <c r="F79" s="6"/>
      <c r="G79" s="6"/>
      <c r="H79" s="6"/>
      <c r="I79" s="11"/>
      <c r="J79" s="11"/>
      <c r="K79" s="11"/>
    </row>
    <row r="80" spans="2:14" x14ac:dyDescent="0.3">
      <c r="B80" s="6"/>
      <c r="C80" s="6"/>
      <c r="D80" s="6"/>
      <c r="E80" s="6"/>
      <c r="F80" s="6"/>
      <c r="G80" s="6"/>
      <c r="H80" s="6"/>
      <c r="I80" s="11"/>
      <c r="J80" s="11"/>
      <c r="K80" s="11"/>
    </row>
    <row r="81" spans="2:11" x14ac:dyDescent="0.3">
      <c r="B81" s="6"/>
      <c r="C81" s="6"/>
      <c r="D81" s="6"/>
      <c r="E81" s="6"/>
      <c r="F81" s="6"/>
      <c r="G81" s="6"/>
      <c r="H81" s="6"/>
      <c r="I81" s="11"/>
      <c r="J81" s="11"/>
      <c r="K81" s="11"/>
    </row>
    <row r="82" spans="2:11" x14ac:dyDescent="0.3">
      <c r="B82" s="6"/>
      <c r="C82" s="6"/>
      <c r="D82" s="6"/>
      <c r="E82" s="6"/>
      <c r="F82" s="6"/>
      <c r="G82" s="6"/>
      <c r="H82" s="6"/>
      <c r="I82" s="11"/>
      <c r="J82" s="11"/>
      <c r="K82" s="11"/>
    </row>
    <row r="83" spans="2:11" x14ac:dyDescent="0.3">
      <c r="B83" s="6"/>
      <c r="C83" s="6"/>
      <c r="D83" s="6"/>
      <c r="E83" s="6"/>
      <c r="F83" s="6"/>
      <c r="G83" s="6"/>
      <c r="H83" s="6"/>
      <c r="I83" s="11"/>
      <c r="J83" s="11"/>
      <c r="K83" s="11"/>
    </row>
    <row r="84" spans="2:11" x14ac:dyDescent="0.3">
      <c r="B84" s="6"/>
      <c r="C84" s="6"/>
      <c r="D84" s="6"/>
      <c r="E84" s="6"/>
      <c r="F84" s="6"/>
      <c r="G84" s="6"/>
      <c r="H84" s="6"/>
      <c r="I84" s="11"/>
      <c r="J84" s="11"/>
      <c r="K84" s="11"/>
    </row>
    <row r="85" spans="2:11" x14ac:dyDescent="0.3">
      <c r="B85" s="6"/>
      <c r="C85" s="6"/>
      <c r="D85" s="6"/>
      <c r="E85" s="6"/>
      <c r="F85" s="6"/>
      <c r="G85" s="6"/>
      <c r="H85" s="6"/>
      <c r="I85" s="11"/>
      <c r="J85" s="11"/>
      <c r="K85" s="11"/>
    </row>
    <row r="86" spans="2:11" x14ac:dyDescent="0.3">
      <c r="B86" s="6"/>
      <c r="C86" s="6"/>
      <c r="D86" s="6"/>
      <c r="E86" s="6"/>
      <c r="F86" s="6"/>
      <c r="G86" s="6"/>
      <c r="H86" s="6"/>
      <c r="I86" s="11"/>
      <c r="J86" s="11"/>
      <c r="K86" s="11"/>
    </row>
    <row r="87" spans="2:11" x14ac:dyDescent="0.3">
      <c r="B87" s="6"/>
      <c r="C87" s="6"/>
      <c r="D87" s="6"/>
      <c r="E87" s="6"/>
      <c r="F87" s="6"/>
      <c r="G87" s="6"/>
      <c r="H87" s="6"/>
      <c r="I87" s="11"/>
      <c r="J87" s="11"/>
      <c r="K87" s="11"/>
    </row>
    <row r="88" spans="2:11" x14ac:dyDescent="0.3">
      <c r="B88" s="6"/>
      <c r="C88" s="6"/>
      <c r="D88" s="6"/>
      <c r="E88" s="6"/>
      <c r="F88" s="6"/>
      <c r="G88" s="6"/>
      <c r="H88" s="6"/>
      <c r="I88" s="11"/>
      <c r="J88" s="11"/>
      <c r="K88" s="11"/>
    </row>
    <row r="89" spans="2:11" x14ac:dyDescent="0.3">
      <c r="B89" s="6"/>
      <c r="C89" s="6"/>
      <c r="D89" s="6"/>
      <c r="E89" s="6"/>
      <c r="F89" s="6"/>
      <c r="G89" s="6"/>
      <c r="H89" s="6"/>
      <c r="I89" s="11"/>
      <c r="J89" s="11"/>
      <c r="K89" s="11"/>
    </row>
    <row r="90" spans="2:11" x14ac:dyDescent="0.3">
      <c r="B90" s="6"/>
      <c r="C90" s="6"/>
      <c r="D90" s="6"/>
      <c r="E90" s="6"/>
      <c r="F90" s="6"/>
      <c r="G90" s="6"/>
      <c r="H90" s="6"/>
      <c r="I90" s="11"/>
      <c r="J90" s="11"/>
      <c r="K90" s="11"/>
    </row>
    <row r="91" spans="2:11" x14ac:dyDescent="0.3">
      <c r="B91" s="6"/>
      <c r="C91" s="6"/>
      <c r="D91" s="6"/>
      <c r="E91" s="6"/>
      <c r="F91" s="6"/>
      <c r="G91" s="6"/>
      <c r="H91" s="6"/>
      <c r="I91" s="11"/>
      <c r="J91" s="11"/>
      <c r="K91" s="11"/>
    </row>
    <row r="92" spans="2:11" x14ac:dyDescent="0.3">
      <c r="B92" s="6"/>
      <c r="C92" s="6"/>
      <c r="D92" s="6"/>
      <c r="E92" s="6"/>
      <c r="F92" s="6"/>
      <c r="G92" s="6"/>
      <c r="H92" s="6"/>
      <c r="I92" s="11"/>
      <c r="J92" s="11"/>
      <c r="K92" s="11"/>
    </row>
    <row r="93" spans="2:11" x14ac:dyDescent="0.3">
      <c r="B93" s="6"/>
      <c r="C93" s="6"/>
      <c r="D93" s="6"/>
      <c r="E93" s="6"/>
      <c r="F93" s="6"/>
      <c r="G93" s="6"/>
      <c r="H93" s="6"/>
      <c r="I93" s="11"/>
      <c r="J93" s="11"/>
      <c r="K93" s="11"/>
    </row>
    <row r="94" spans="2:11" x14ac:dyDescent="0.3">
      <c r="B94" s="6"/>
      <c r="C94" s="6"/>
      <c r="D94" s="6"/>
      <c r="E94" s="6"/>
      <c r="F94" s="6"/>
      <c r="G94" s="6"/>
      <c r="H94" s="6"/>
      <c r="I94" s="11"/>
      <c r="J94" s="11"/>
      <c r="K94" s="11"/>
    </row>
    <row r="95" spans="2:11" x14ac:dyDescent="0.3">
      <c r="B95" s="6"/>
      <c r="C95" s="6"/>
      <c r="D95" s="6"/>
      <c r="E95" s="6"/>
      <c r="F95" s="6"/>
      <c r="G95" s="6"/>
      <c r="H95" s="6"/>
      <c r="I95" s="11"/>
      <c r="J95" s="11"/>
      <c r="K95" s="11"/>
    </row>
    <row r="96" spans="2:11" x14ac:dyDescent="0.3">
      <c r="B96" s="6"/>
      <c r="C96" s="6"/>
      <c r="D96" s="6"/>
      <c r="E96" s="6"/>
      <c r="F96" s="6"/>
      <c r="G96" s="6"/>
      <c r="H96" s="6"/>
      <c r="I96" s="11"/>
      <c r="J96" s="11"/>
      <c r="K96" s="11"/>
    </row>
    <row r="97" spans="2:11" x14ac:dyDescent="0.3">
      <c r="B97" s="6"/>
      <c r="C97" s="6"/>
      <c r="D97" s="6"/>
      <c r="E97" s="6"/>
      <c r="F97" s="6"/>
      <c r="G97" s="6"/>
      <c r="H97" s="6"/>
      <c r="I97" s="11"/>
      <c r="J97" s="11"/>
      <c r="K97" s="11"/>
    </row>
    <row r="98" spans="2:11" x14ac:dyDescent="0.3">
      <c r="B98" s="6"/>
      <c r="C98" s="6"/>
      <c r="D98" s="6"/>
      <c r="E98" s="6"/>
      <c r="F98" s="6"/>
      <c r="G98" s="6"/>
      <c r="H98" s="6"/>
      <c r="I98" s="11"/>
      <c r="J98" s="11"/>
      <c r="K98" s="11"/>
    </row>
    <row r="99" spans="2:11" x14ac:dyDescent="0.3">
      <c r="B99" s="6"/>
      <c r="C99" s="6"/>
      <c r="D99" s="6"/>
      <c r="E99" s="6"/>
      <c r="F99" s="6"/>
      <c r="G99" s="6"/>
      <c r="H99" s="6"/>
      <c r="I99" s="11"/>
      <c r="J99" s="11"/>
      <c r="K99" s="11"/>
    </row>
    <row r="100" spans="2:11" x14ac:dyDescent="0.3">
      <c r="B100" s="6"/>
      <c r="C100" s="6"/>
      <c r="D100" s="6"/>
      <c r="E100" s="6"/>
      <c r="F100" s="6"/>
      <c r="G100" s="6"/>
      <c r="H100" s="6"/>
      <c r="I100" s="11"/>
      <c r="J100" s="11"/>
      <c r="K100" s="11"/>
    </row>
    <row r="101" spans="2:11" x14ac:dyDescent="0.3">
      <c r="B101" s="6"/>
      <c r="C101" s="6"/>
      <c r="D101" s="6"/>
      <c r="E101" s="6"/>
      <c r="F101" s="6"/>
      <c r="G101" s="6"/>
      <c r="H101" s="6"/>
      <c r="I101" s="11"/>
      <c r="J101" s="11"/>
      <c r="K101" s="11"/>
    </row>
    <row r="102" spans="2:11" x14ac:dyDescent="0.3">
      <c r="B102" s="6"/>
      <c r="C102" s="6"/>
      <c r="D102" s="6"/>
      <c r="E102" s="6"/>
      <c r="F102" s="6"/>
      <c r="G102" s="6"/>
      <c r="H102" s="6"/>
      <c r="I102" s="11"/>
      <c r="J102" s="11"/>
      <c r="K102" s="11"/>
    </row>
    <row r="103" spans="2:11" x14ac:dyDescent="0.3">
      <c r="B103" s="6"/>
      <c r="C103" s="6"/>
      <c r="D103" s="6"/>
      <c r="E103" s="6"/>
      <c r="F103" s="6"/>
      <c r="G103" s="6"/>
      <c r="H103" s="6"/>
      <c r="I103" s="11"/>
      <c r="J103" s="11"/>
      <c r="K103" s="11"/>
    </row>
    <row r="104" spans="2:11" x14ac:dyDescent="0.3">
      <c r="B104" s="6"/>
      <c r="C104" s="6"/>
      <c r="D104" s="6"/>
      <c r="E104" s="6"/>
      <c r="F104" s="6"/>
      <c r="G104" s="6"/>
      <c r="H104" s="6"/>
      <c r="I104" s="11"/>
      <c r="J104" s="11"/>
      <c r="K104" s="11"/>
    </row>
    <row r="105" spans="2:11" x14ac:dyDescent="0.3">
      <c r="B105" s="6"/>
      <c r="C105" s="6"/>
      <c r="D105" s="6"/>
      <c r="E105" s="6"/>
      <c r="F105" s="6"/>
      <c r="G105" s="6"/>
      <c r="H105" s="6"/>
      <c r="I105" s="11"/>
      <c r="J105" s="11"/>
      <c r="K105" s="11"/>
    </row>
    <row r="106" spans="2:11" x14ac:dyDescent="0.3">
      <c r="B106" s="6"/>
      <c r="C106" s="6"/>
      <c r="D106" s="6"/>
      <c r="E106" s="6"/>
      <c r="F106" s="6"/>
      <c r="G106" s="6"/>
      <c r="H106" s="6"/>
      <c r="I106" s="11"/>
      <c r="J106" s="11"/>
      <c r="K106" s="11"/>
    </row>
    <row r="107" spans="2:11" x14ac:dyDescent="0.3">
      <c r="B107" s="6"/>
      <c r="C107" s="6"/>
      <c r="D107" s="6"/>
      <c r="E107" s="6"/>
      <c r="F107" s="6"/>
      <c r="G107" s="6"/>
      <c r="H107" s="6"/>
      <c r="I107" s="11"/>
      <c r="J107" s="11"/>
      <c r="K107" s="11"/>
    </row>
    <row r="108" spans="2:11" x14ac:dyDescent="0.3">
      <c r="B108" s="6"/>
      <c r="C108" s="6"/>
      <c r="D108" s="6"/>
      <c r="E108" s="6"/>
      <c r="F108" s="6"/>
      <c r="G108" s="6"/>
      <c r="H108" s="6"/>
      <c r="I108" s="11"/>
      <c r="J108" s="11"/>
      <c r="K108" s="11"/>
    </row>
    <row r="109" spans="2:11" x14ac:dyDescent="0.3">
      <c r="B109" s="6"/>
      <c r="C109" s="6"/>
      <c r="D109" s="6"/>
      <c r="E109" s="6"/>
      <c r="F109" s="6"/>
      <c r="G109" s="6"/>
      <c r="H109" s="6"/>
      <c r="I109" s="11"/>
      <c r="J109" s="11"/>
      <c r="K109" s="11"/>
    </row>
    <row r="110" spans="2:11" x14ac:dyDescent="0.3">
      <c r="B110" s="6"/>
      <c r="C110" s="6"/>
      <c r="D110" s="6"/>
      <c r="E110" s="6"/>
      <c r="F110" s="6"/>
      <c r="G110" s="6"/>
      <c r="H110" s="6"/>
      <c r="I110" s="11"/>
      <c r="J110" s="11"/>
      <c r="K110" s="11"/>
    </row>
    <row r="111" spans="2:11" x14ac:dyDescent="0.3">
      <c r="B111" s="6"/>
      <c r="C111" s="6"/>
      <c r="D111" s="6"/>
      <c r="E111" s="6"/>
      <c r="F111" s="6"/>
      <c r="G111" s="6"/>
      <c r="H111" s="6"/>
      <c r="I111" s="11"/>
      <c r="J111" s="11"/>
      <c r="K111" s="11"/>
    </row>
    <row r="112" spans="2:11" x14ac:dyDescent="0.3">
      <c r="B112" s="6"/>
      <c r="C112" s="6"/>
      <c r="D112" s="6"/>
      <c r="E112" s="6"/>
      <c r="F112" s="6"/>
      <c r="G112" s="6"/>
      <c r="H112" s="6"/>
      <c r="I112" s="11"/>
      <c r="J112" s="11"/>
      <c r="K112" s="11"/>
    </row>
    <row r="113" spans="2:11" x14ac:dyDescent="0.3">
      <c r="B113" s="6"/>
      <c r="C113" s="6"/>
      <c r="D113" s="6"/>
      <c r="E113" s="6"/>
      <c r="F113" s="6"/>
      <c r="G113" s="6"/>
      <c r="H113" s="6"/>
      <c r="I113" s="11"/>
      <c r="J113" s="11"/>
      <c r="K113" s="11"/>
    </row>
    <row r="114" spans="2:11" x14ac:dyDescent="0.3">
      <c r="B114" s="6"/>
      <c r="C114" s="6"/>
      <c r="D114" s="6"/>
      <c r="E114" s="6"/>
      <c r="F114" s="6"/>
      <c r="G114" s="6"/>
      <c r="H114" s="6"/>
      <c r="I114" s="11"/>
      <c r="J114" s="11"/>
      <c r="K114" s="11"/>
    </row>
    <row r="115" spans="2:11" x14ac:dyDescent="0.3">
      <c r="B115" s="6"/>
      <c r="C115" s="6"/>
      <c r="D115" s="6"/>
      <c r="E115" s="6"/>
      <c r="F115" s="6"/>
      <c r="G115" s="6"/>
      <c r="H115" s="6"/>
      <c r="I115" s="11"/>
      <c r="J115" s="11"/>
      <c r="K115" s="11"/>
    </row>
    <row r="116" spans="2:11" x14ac:dyDescent="0.3">
      <c r="B116" s="6"/>
      <c r="C116" s="6"/>
      <c r="D116" s="6"/>
      <c r="E116" s="6"/>
      <c r="F116" s="6"/>
      <c r="G116" s="6"/>
      <c r="H116" s="6"/>
      <c r="I116" s="11"/>
      <c r="J116" s="11"/>
      <c r="K116" s="11"/>
    </row>
    <row r="117" spans="2:11" x14ac:dyDescent="0.3">
      <c r="B117" s="6"/>
      <c r="C117" s="6"/>
      <c r="D117" s="6"/>
      <c r="E117" s="6"/>
      <c r="F117" s="6"/>
      <c r="G117" s="6"/>
      <c r="H117" s="6"/>
      <c r="I117" s="11"/>
      <c r="J117" s="11"/>
      <c r="K117" s="11"/>
    </row>
    <row r="118" spans="2:11" x14ac:dyDescent="0.3">
      <c r="B118" s="6"/>
      <c r="C118" s="6"/>
      <c r="D118" s="6"/>
      <c r="E118" s="6"/>
      <c r="F118" s="6"/>
      <c r="G118" s="6"/>
      <c r="H118" s="6"/>
      <c r="I118" s="11"/>
      <c r="J118" s="11"/>
      <c r="K118" s="11"/>
    </row>
    <row r="119" spans="2:11" x14ac:dyDescent="0.3">
      <c r="B119" s="6"/>
      <c r="C119" s="6"/>
      <c r="D119" s="6"/>
      <c r="E119" s="6"/>
      <c r="F119" s="6"/>
      <c r="G119" s="6"/>
      <c r="H119" s="6"/>
      <c r="I119" s="11"/>
      <c r="J119" s="11"/>
      <c r="K119" s="11"/>
    </row>
    <row r="120" spans="2:11" x14ac:dyDescent="0.3">
      <c r="B120" s="6"/>
      <c r="C120" s="6"/>
      <c r="D120" s="6"/>
      <c r="E120" s="6"/>
      <c r="F120" s="6"/>
      <c r="G120" s="6"/>
      <c r="H120" s="6"/>
      <c r="I120" s="11"/>
      <c r="J120" s="11"/>
      <c r="K120" s="11"/>
    </row>
    <row r="121" spans="2:11" x14ac:dyDescent="0.3">
      <c r="B121" s="6"/>
      <c r="C121" s="6"/>
      <c r="D121" s="6"/>
      <c r="E121" s="6"/>
      <c r="F121" s="6"/>
      <c r="G121" s="6"/>
      <c r="H121" s="6"/>
      <c r="I121" s="11"/>
      <c r="J121" s="11"/>
      <c r="K121" s="11"/>
    </row>
    <row r="122" spans="2:11" x14ac:dyDescent="0.3">
      <c r="B122" s="6"/>
      <c r="C122" s="6"/>
      <c r="D122" s="6"/>
      <c r="E122" s="6"/>
      <c r="F122" s="6"/>
      <c r="G122" s="6"/>
      <c r="H122" s="6"/>
      <c r="I122" s="11"/>
      <c r="J122" s="11"/>
      <c r="K122" s="11"/>
    </row>
    <row r="1048576" spans="13:13" x14ac:dyDescent="0.3">
      <c r="M1048576" s="6"/>
    </row>
  </sheetData>
  <hyperlinks>
    <hyperlink ref="E2" r:id="rId1" xr:uid="{E5C704E5-DDF0-4FB3-BBE1-981FB74E0FE7}"/>
    <hyperlink ref="D2" r:id="rId2" xr:uid="{BD9EF036-2C48-4062-9691-06CDDA2BABCE}"/>
    <hyperlink ref="F2" r:id="rId3" xr:uid="{6770A660-0ED5-4085-A052-63DAEB7C54B9}"/>
    <hyperlink ref="L2" r:id="rId4" display="imae manufactura" xr:uid="{0A7B6033-88A9-4316-975D-A6C2FA49207B}"/>
    <hyperlink ref="J2" r:id="rId5" display="remesas_reales" xr:uid="{4F3416A4-CE53-47AF-8DA7-BBBACFF520B4}"/>
    <hyperlink ref="K2" r:id="rId6" display="exportaciones _naturales_reales" xr:uid="{5870AC72-5D16-4D65-B731-F561B74586ED}"/>
    <hyperlink ref="G2" r:id="rId7" xr:uid="{E35B9AFD-3CE4-4464-83BC-7608FBDE707E}"/>
    <hyperlink ref="H2" r:id="rId8" xr:uid="{BB7E158D-7F1E-48CD-B802-49503789AB36}"/>
  </hyperlinks>
  <pageMargins left="0.7" right="0.7" top="0.75" bottom="0.75" header="0.3" footer="0.3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B9CE-EB6E-4091-975C-97905CDAB782}">
  <dimension ref="B2:BS242"/>
  <sheetViews>
    <sheetView workbookViewId="0">
      <selection activeCell="D26" sqref="D26"/>
    </sheetView>
  </sheetViews>
  <sheetFormatPr baseColWidth="10" defaultRowHeight="14.4" x14ac:dyDescent="0.3"/>
  <cols>
    <col min="6" max="6" width="11.44140625" style="5"/>
    <col min="7" max="7" width="17.6640625" style="5" bestFit="1" customWidth="1"/>
    <col min="8" max="8" width="32.6640625" style="5" bestFit="1" customWidth="1"/>
    <col min="9" max="9" width="34.5546875" bestFit="1" customWidth="1"/>
    <col min="10" max="10" width="27.77734375" style="5" bestFit="1" customWidth="1"/>
    <col min="11" max="11" width="30" style="5" bestFit="1" customWidth="1"/>
    <col min="12" max="12" width="19" bestFit="1" customWidth="1"/>
    <col min="13" max="13" width="29.6640625" bestFit="1" customWidth="1"/>
    <col min="14" max="14" width="36.88671875" bestFit="1" customWidth="1"/>
    <col min="15" max="15" width="30.109375" bestFit="1" customWidth="1"/>
  </cols>
  <sheetData>
    <row r="2" spans="2:15" x14ac:dyDescent="0.3">
      <c r="B2" s="6" t="s">
        <v>12</v>
      </c>
      <c r="C2" s="6" t="s">
        <v>1</v>
      </c>
      <c r="D2" s="1" t="s">
        <v>0</v>
      </c>
      <c r="E2" s="1" t="s">
        <v>3</v>
      </c>
      <c r="F2" s="1" t="s">
        <v>4</v>
      </c>
      <c r="G2" s="1" t="s">
        <v>8</v>
      </c>
      <c r="H2" s="8" t="s">
        <v>21</v>
      </c>
      <c r="I2" s="1" t="s">
        <v>9</v>
      </c>
      <c r="J2" s="1" t="s">
        <v>26</v>
      </c>
      <c r="K2" s="5" t="s">
        <v>52</v>
      </c>
      <c r="L2" s="5"/>
      <c r="M2" s="5"/>
      <c r="N2" s="5"/>
      <c r="O2" s="5"/>
    </row>
    <row r="3" spans="2:15" x14ac:dyDescent="0.3">
      <c r="B3" s="6">
        <v>2006</v>
      </c>
      <c r="C3" s="6">
        <v>1</v>
      </c>
      <c r="D3" s="6">
        <v>100.96054566502924</v>
      </c>
      <c r="E3" s="6">
        <v>99.862615172785468</v>
      </c>
      <c r="F3" s="6">
        <v>99.2</v>
      </c>
      <c r="G3" s="3">
        <v>99.56</v>
      </c>
      <c r="H3" s="11">
        <v>95.399767242321559</v>
      </c>
      <c r="I3" s="11">
        <v>63.176303421138925</v>
      </c>
      <c r="J3" s="11">
        <v>46.562117422669147</v>
      </c>
      <c r="K3" s="2">
        <v>857.98920247870285</v>
      </c>
      <c r="L3" s="2"/>
      <c r="M3" s="2"/>
      <c r="N3" s="2"/>
      <c r="O3" s="2"/>
    </row>
    <row r="4" spans="2:15" x14ac:dyDescent="0.3">
      <c r="B4" s="6">
        <v>2006</v>
      </c>
      <c r="C4" s="6">
        <v>2</v>
      </c>
      <c r="D4" s="6">
        <v>100.10637965019868</v>
      </c>
      <c r="E4" s="6">
        <v>101.474387990012</v>
      </c>
      <c r="F4" s="6">
        <v>99.239418900370836</v>
      </c>
      <c r="G4" s="3">
        <v>104.82</v>
      </c>
      <c r="H4" s="11">
        <v>113.11294941810344</v>
      </c>
      <c r="I4" s="11">
        <v>58.836206896551722</v>
      </c>
      <c r="J4" s="11">
        <v>51.218135926724131</v>
      </c>
      <c r="K4" s="2">
        <v>860.55654370000059</v>
      </c>
      <c r="L4" s="2"/>
      <c r="M4" s="2"/>
      <c r="N4" s="2"/>
      <c r="O4" s="2"/>
    </row>
    <row r="5" spans="2:15" x14ac:dyDescent="0.3">
      <c r="B5" s="6">
        <v>2006</v>
      </c>
      <c r="C5" s="6">
        <v>3</v>
      </c>
      <c r="D5" s="6">
        <v>99.909264416006991</v>
      </c>
      <c r="E5" s="6">
        <v>99.726878403005401</v>
      </c>
      <c r="F5" s="6">
        <v>99.464446782447538</v>
      </c>
      <c r="G5" s="3">
        <v>117.48</v>
      </c>
      <c r="H5" s="11">
        <v>129.73009053634513</v>
      </c>
      <c r="I5" s="11">
        <v>65.517610534204053</v>
      </c>
      <c r="J5" s="11">
        <v>57.369135253184886</v>
      </c>
      <c r="K5" s="2">
        <v>858.56331577116873</v>
      </c>
      <c r="L5" s="2"/>
      <c r="M5" s="2"/>
      <c r="N5" s="2"/>
      <c r="O5" s="2"/>
    </row>
    <row r="6" spans="2:15" x14ac:dyDescent="0.3">
      <c r="B6" s="6">
        <v>2006</v>
      </c>
      <c r="C6" s="6">
        <v>4</v>
      </c>
      <c r="D6" s="6">
        <v>99.336691592878807</v>
      </c>
      <c r="E6" s="6">
        <v>103.47028058453726</v>
      </c>
      <c r="F6" s="6">
        <v>99.758923970448166</v>
      </c>
      <c r="G6" s="3">
        <v>92.24</v>
      </c>
      <c r="H6" s="11">
        <v>100.3095831943418</v>
      </c>
      <c r="I6" s="11">
        <v>57.743059220943735</v>
      </c>
      <c r="J6" s="11">
        <v>54.466628343713722</v>
      </c>
      <c r="K6" s="2">
        <v>901.91050540032586</v>
      </c>
      <c r="L6" s="2"/>
      <c r="M6" s="2"/>
      <c r="N6" s="2"/>
      <c r="O6" s="2"/>
    </row>
    <row r="7" spans="2:15" x14ac:dyDescent="0.3">
      <c r="B7" s="6">
        <v>2006</v>
      </c>
      <c r="C7" s="6">
        <v>5</v>
      </c>
      <c r="D7" s="6">
        <v>99.158349238133965</v>
      </c>
      <c r="E7" s="6">
        <v>98.218057525440656</v>
      </c>
      <c r="F7" s="6">
        <v>99.783994462251869</v>
      </c>
      <c r="G7" s="3">
        <v>90.02</v>
      </c>
      <c r="H7" s="11">
        <v>131.92340167399038</v>
      </c>
      <c r="I7" s="11">
        <v>62.983887842644904</v>
      </c>
      <c r="J7" s="11">
        <v>58.807113078049802</v>
      </c>
      <c r="K7" s="2">
        <v>843.21622744126137</v>
      </c>
      <c r="L7" s="2"/>
      <c r="M7" s="2"/>
      <c r="N7" s="2"/>
      <c r="O7" s="2"/>
    </row>
    <row r="8" spans="2:15" x14ac:dyDescent="0.3">
      <c r="B8" s="6">
        <v>2006</v>
      </c>
      <c r="C8" s="6">
        <v>6</v>
      </c>
      <c r="D8" s="6">
        <v>99.627671224304606</v>
      </c>
      <c r="E8" s="6">
        <v>100.93062341612355</v>
      </c>
      <c r="F8" s="6">
        <v>100.12001992497555</v>
      </c>
      <c r="G8" s="3">
        <v>90.41</v>
      </c>
      <c r="H8" s="11">
        <v>130.0022179334793</v>
      </c>
      <c r="I8" s="11">
        <v>55.88572620164738</v>
      </c>
      <c r="J8" s="11">
        <v>54.377036357001352</v>
      </c>
      <c r="K8" s="2">
        <v>839.29855463775539</v>
      </c>
      <c r="L8" s="2"/>
      <c r="M8" s="2"/>
      <c r="N8" s="2"/>
      <c r="O8" s="2"/>
    </row>
    <row r="9" spans="2:15" x14ac:dyDescent="0.3">
      <c r="B9" s="6">
        <v>2006</v>
      </c>
      <c r="C9" s="6">
        <v>7</v>
      </c>
      <c r="D9" s="6">
        <v>99.85294577766652</v>
      </c>
      <c r="E9" s="6">
        <v>97.180497364119205</v>
      </c>
      <c r="F9" s="6">
        <v>100.05461424676189</v>
      </c>
      <c r="G9" s="3">
        <v>102.59</v>
      </c>
      <c r="H9" s="11">
        <v>117.41931864758351</v>
      </c>
      <c r="I9" s="11">
        <v>59.220078821821197</v>
      </c>
      <c r="J9" s="11">
        <v>46.51974148516905</v>
      </c>
      <c r="K9" s="2">
        <v>833.57551428880311</v>
      </c>
      <c r="L9" s="2"/>
      <c r="M9" s="2"/>
      <c r="N9" s="2"/>
      <c r="O9" s="2"/>
    </row>
    <row r="10" spans="2:15" x14ac:dyDescent="0.3">
      <c r="B10" s="6">
        <v>2006</v>
      </c>
      <c r="C10" s="6">
        <v>8</v>
      </c>
      <c r="D10" s="6">
        <v>100.63202027470979</v>
      </c>
      <c r="E10" s="6">
        <v>97.009976812158797</v>
      </c>
      <c r="F10" s="6">
        <v>100.48889986284522</v>
      </c>
      <c r="G10" s="3">
        <v>104.07</v>
      </c>
      <c r="H10" s="11">
        <v>141.77449335334919</v>
      </c>
      <c r="I10" s="11">
        <v>60.15115436380578</v>
      </c>
      <c r="J10" s="11">
        <v>53.301344994305822</v>
      </c>
      <c r="K10" s="2">
        <v>854.69394516149589</v>
      </c>
      <c r="L10" s="2"/>
      <c r="M10" s="2"/>
      <c r="N10" s="2"/>
      <c r="O10" s="2"/>
    </row>
    <row r="11" spans="2:15" x14ac:dyDescent="0.3">
      <c r="B11" s="6">
        <v>2006</v>
      </c>
      <c r="C11" s="6">
        <v>9</v>
      </c>
      <c r="D11" s="6">
        <v>100.7071117924971</v>
      </c>
      <c r="E11" s="6">
        <v>100.59687603516633</v>
      </c>
      <c r="F11" s="6">
        <v>100.30683552519017</v>
      </c>
      <c r="G11" s="3">
        <v>94.21</v>
      </c>
      <c r="H11" s="11">
        <v>128.85534286902288</v>
      </c>
      <c r="I11" s="11">
        <v>65.904365904365903</v>
      </c>
      <c r="J11" s="11">
        <v>43.69397752598752</v>
      </c>
      <c r="K11" s="2">
        <v>825.92180014254859</v>
      </c>
      <c r="L11" s="2"/>
      <c r="M11" s="2"/>
      <c r="N11" s="2"/>
      <c r="O11" s="2"/>
    </row>
    <row r="12" spans="2:15" x14ac:dyDescent="0.3">
      <c r="B12" s="6">
        <v>2006</v>
      </c>
      <c r="C12" s="6">
        <v>10</v>
      </c>
      <c r="D12" s="6">
        <v>100.2753355652201</v>
      </c>
      <c r="E12" s="6">
        <v>96.172240530530814</v>
      </c>
      <c r="F12" s="6">
        <v>100.20402629065649</v>
      </c>
      <c r="G12" s="3">
        <v>100.03</v>
      </c>
      <c r="H12" s="11">
        <v>149.89638080306321</v>
      </c>
      <c r="I12" s="11">
        <v>63.334368208630863</v>
      </c>
      <c r="J12" s="11">
        <v>42.051906923315741</v>
      </c>
      <c r="K12" s="2">
        <v>828.40447492469309</v>
      </c>
      <c r="L12" s="2"/>
      <c r="M12" s="2"/>
      <c r="N12" s="2"/>
      <c r="O12" s="2"/>
    </row>
    <row r="13" spans="2:15" x14ac:dyDescent="0.3">
      <c r="B13" s="6">
        <v>2006</v>
      </c>
      <c r="C13" s="6">
        <v>11</v>
      </c>
      <c r="D13" s="6">
        <v>100.05006101185819</v>
      </c>
      <c r="E13" s="6">
        <v>101.4954813689094</v>
      </c>
      <c r="F13" s="6">
        <v>100.17713616638316</v>
      </c>
      <c r="G13" s="3">
        <v>97.76</v>
      </c>
      <c r="H13" s="11">
        <v>131.14540687140507</v>
      </c>
      <c r="I13" s="11">
        <v>54.334428923582578</v>
      </c>
      <c r="J13" s="11">
        <v>44.092516608463441</v>
      </c>
      <c r="K13" s="2">
        <v>818.80897996555962</v>
      </c>
      <c r="L13" s="2"/>
      <c r="M13" s="2"/>
      <c r="N13" s="2"/>
      <c r="O13" s="2"/>
    </row>
    <row r="14" spans="2:15" x14ac:dyDescent="0.3">
      <c r="B14" s="6">
        <v>2006</v>
      </c>
      <c r="C14" s="6">
        <v>12</v>
      </c>
      <c r="D14" s="6">
        <v>99.383623791495864</v>
      </c>
      <c r="E14" s="6">
        <v>104.18171990302729</v>
      </c>
      <c r="F14" s="6">
        <v>101.20441978617804</v>
      </c>
      <c r="G14" s="3">
        <v>106.82</v>
      </c>
      <c r="H14" s="11">
        <v>130.97783686444959</v>
      </c>
      <c r="I14" s="11">
        <v>63.378146163954305</v>
      </c>
      <c r="J14" s="11">
        <v>47.242878833518645</v>
      </c>
      <c r="K14" s="2">
        <v>841.94064337267775</v>
      </c>
      <c r="L14" s="2"/>
      <c r="M14" s="2"/>
      <c r="N14" s="2"/>
      <c r="O14" s="2"/>
    </row>
    <row r="15" spans="2:15" x14ac:dyDescent="0.3">
      <c r="B15" s="6">
        <v>2007</v>
      </c>
      <c r="C15" s="6">
        <v>1</v>
      </c>
      <c r="D15" s="6">
        <v>99.092644160070066</v>
      </c>
      <c r="E15" s="6">
        <v>100.97621747886845</v>
      </c>
      <c r="F15" s="6">
        <v>100.84261619680134</v>
      </c>
      <c r="G15" s="3">
        <v>106.82</v>
      </c>
      <c r="H15" s="11">
        <v>132.12863616723104</v>
      </c>
      <c r="I15" s="11">
        <v>51.503006012024045</v>
      </c>
      <c r="J15" s="11">
        <v>46.12350387775551</v>
      </c>
      <c r="K15" s="2">
        <v>765.21311346586515</v>
      </c>
      <c r="L15" s="2"/>
      <c r="M15" s="2"/>
      <c r="N15" s="2"/>
      <c r="O15" s="2"/>
    </row>
    <row r="16" spans="2:15" x14ac:dyDescent="0.3">
      <c r="B16" s="6">
        <v>2007</v>
      </c>
      <c r="C16" s="6">
        <v>2</v>
      </c>
      <c r="D16" s="6">
        <v>98.792278088920852</v>
      </c>
      <c r="E16" s="6">
        <v>106.1225225141938</v>
      </c>
      <c r="F16" s="6">
        <v>101.81510866112203</v>
      </c>
      <c r="G16" s="3">
        <v>101.3</v>
      </c>
      <c r="H16" s="11">
        <v>131.09508450769013</v>
      </c>
      <c r="I16" s="11">
        <v>52.089522677757969</v>
      </c>
      <c r="J16" s="11">
        <v>46.236836452762923</v>
      </c>
      <c r="K16" s="2">
        <v>794.0741698656492</v>
      </c>
      <c r="L16" s="2"/>
      <c r="M16" s="2"/>
      <c r="N16" s="2"/>
      <c r="O16" s="2"/>
    </row>
    <row r="17" spans="2:15" x14ac:dyDescent="0.3">
      <c r="B17" s="6">
        <v>2007</v>
      </c>
      <c r="C17" s="6">
        <v>3</v>
      </c>
      <c r="D17" s="6">
        <v>98.454366258877997</v>
      </c>
      <c r="E17" s="6">
        <v>101.48767551035249</v>
      </c>
      <c r="F17" s="6">
        <v>101.99565663838573</v>
      </c>
      <c r="G17" s="3">
        <v>118.1</v>
      </c>
      <c r="H17" s="11">
        <v>152.94333186024863</v>
      </c>
      <c r="I17" s="11">
        <v>59.837430222309273</v>
      </c>
      <c r="J17" s="11">
        <v>62.575955626285385</v>
      </c>
      <c r="K17" s="2">
        <v>779.22440337540411</v>
      </c>
      <c r="L17" s="2"/>
      <c r="M17" s="2"/>
      <c r="N17" s="2"/>
      <c r="O17" s="2"/>
    </row>
    <row r="18" spans="2:15" x14ac:dyDescent="0.3">
      <c r="B18" s="6">
        <v>2007</v>
      </c>
      <c r="C18" s="6">
        <v>4</v>
      </c>
      <c r="D18" s="6">
        <v>97.900566315196627</v>
      </c>
      <c r="E18" s="6">
        <v>100.87850317483793</v>
      </c>
      <c r="F18" s="6">
        <v>102.68014171904218</v>
      </c>
      <c r="G18" s="3">
        <v>103.03</v>
      </c>
      <c r="H18" s="11">
        <v>117.47718399825608</v>
      </c>
      <c r="I18" s="11">
        <v>55.555555555555557</v>
      </c>
      <c r="J18" s="11">
        <v>51.026016686057773</v>
      </c>
      <c r="K18" s="2">
        <v>813.28674289401806</v>
      </c>
      <c r="L18" s="2"/>
      <c r="M18" s="2"/>
      <c r="N18" s="2"/>
      <c r="O18" s="2"/>
    </row>
    <row r="19" spans="2:15" x14ac:dyDescent="0.3">
      <c r="B19" s="6">
        <v>2007</v>
      </c>
      <c r="C19" s="6">
        <v>5</v>
      </c>
      <c r="D19" s="6">
        <v>97.769156159068842</v>
      </c>
      <c r="E19" s="6">
        <v>101.7839629894181</v>
      </c>
      <c r="F19" s="6">
        <v>102.73533723728742</v>
      </c>
      <c r="G19" s="3">
        <v>90.42</v>
      </c>
      <c r="H19" s="11">
        <v>138.53843087044183</v>
      </c>
      <c r="I19" s="11">
        <v>61.483690945828918</v>
      </c>
      <c r="J19" s="11">
        <v>52.537023082844229</v>
      </c>
      <c r="K19" s="2">
        <v>751.48224165363717</v>
      </c>
      <c r="L19" s="2"/>
      <c r="M19" s="2"/>
      <c r="N19" s="2"/>
      <c r="O19" s="2"/>
    </row>
    <row r="20" spans="2:15" x14ac:dyDescent="0.3">
      <c r="B20" s="6">
        <v>2007</v>
      </c>
      <c r="C20" s="6">
        <v>6</v>
      </c>
      <c r="D20" s="6">
        <v>97.196583335940659</v>
      </c>
      <c r="E20" s="6">
        <v>94.252216517387836</v>
      </c>
      <c r="F20" s="6">
        <v>102.76344044987383</v>
      </c>
      <c r="G20" s="3">
        <v>92.05</v>
      </c>
      <c r="H20" s="11">
        <v>149.09743325079336</v>
      </c>
      <c r="I20" s="11">
        <v>57.058487330920173</v>
      </c>
      <c r="J20" s="11">
        <v>48.333090960182886</v>
      </c>
      <c r="K20" s="2">
        <v>733.37001857645998</v>
      </c>
      <c r="L20" s="2"/>
      <c r="M20" s="2"/>
      <c r="N20" s="2"/>
      <c r="O20" s="2"/>
    </row>
    <row r="21" spans="2:15" x14ac:dyDescent="0.3">
      <c r="B21" s="6">
        <v>2007</v>
      </c>
      <c r="C21" s="6">
        <v>7</v>
      </c>
      <c r="D21" s="6">
        <v>96.97130878257876</v>
      </c>
      <c r="E21" s="6">
        <v>91.857622083553665</v>
      </c>
      <c r="F21" s="6">
        <v>102.60230188561944</v>
      </c>
      <c r="G21" s="3">
        <v>112.95</v>
      </c>
      <c r="H21" s="11">
        <v>149.09670263942644</v>
      </c>
      <c r="I21" s="11">
        <v>58.395540017008408</v>
      </c>
      <c r="J21" s="11">
        <v>46.161240196541634</v>
      </c>
      <c r="K21" s="2">
        <v>734.51897252795118</v>
      </c>
      <c r="L21" s="2"/>
      <c r="M21" s="2"/>
      <c r="N21" s="2"/>
      <c r="O21" s="2"/>
    </row>
    <row r="22" spans="2:15" x14ac:dyDescent="0.3">
      <c r="B22" s="6">
        <v>2007</v>
      </c>
      <c r="C22" s="6">
        <v>8</v>
      </c>
      <c r="D22" s="6">
        <v>97.496949407089886</v>
      </c>
      <c r="E22" s="6">
        <v>96.068370207992288</v>
      </c>
      <c r="F22" s="6">
        <v>102.80347236420552</v>
      </c>
      <c r="G22" s="3">
        <v>105.02</v>
      </c>
      <c r="H22" s="11">
        <v>150.40082523719752</v>
      </c>
      <c r="I22" s="11">
        <v>61.439879381831886</v>
      </c>
      <c r="J22" s="11">
        <v>46.626861213720318</v>
      </c>
      <c r="K22" s="2">
        <v>770.72434656583312</v>
      </c>
      <c r="L22" s="2"/>
      <c r="M22" s="2"/>
      <c r="N22" s="2"/>
      <c r="O22" s="2"/>
    </row>
    <row r="23" spans="2:15" x14ac:dyDescent="0.3">
      <c r="B23" s="6">
        <v>2007</v>
      </c>
      <c r="C23" s="6">
        <v>9</v>
      </c>
      <c r="D23" s="6">
        <v>97.262288414004558</v>
      </c>
      <c r="E23" s="6">
        <v>100.79657149023275</v>
      </c>
      <c r="F23" s="6">
        <v>103.05468273570624</v>
      </c>
      <c r="G23" s="3">
        <v>90.96</v>
      </c>
      <c r="H23" s="11">
        <v>134.89057082104802</v>
      </c>
      <c r="I23" s="11">
        <v>58.423406634364525</v>
      </c>
      <c r="J23" s="11">
        <v>40.946259234066346</v>
      </c>
      <c r="K23" s="2">
        <v>732.6978895117619</v>
      </c>
      <c r="L23" s="2"/>
      <c r="M23" s="2"/>
      <c r="N23" s="2"/>
      <c r="O23" s="2"/>
    </row>
    <row r="24" spans="2:15" x14ac:dyDescent="0.3">
      <c r="B24" s="6">
        <v>2007</v>
      </c>
      <c r="C24" s="6">
        <v>10</v>
      </c>
      <c r="D24" s="6">
        <v>96.201620725258891</v>
      </c>
      <c r="E24" s="6">
        <v>102.14711379727717</v>
      </c>
      <c r="F24" s="6">
        <v>102.75323028990537</v>
      </c>
      <c r="G24" s="3">
        <v>108.6</v>
      </c>
      <c r="H24" s="11">
        <v>143.10899991097963</v>
      </c>
      <c r="I24" s="11">
        <v>60.713959645759154</v>
      </c>
      <c r="J24" s="11">
        <v>44.209663452935274</v>
      </c>
      <c r="K24" s="2">
        <v>734.90539836682444</v>
      </c>
      <c r="L24" s="2"/>
      <c r="M24" s="2"/>
      <c r="N24" s="2"/>
      <c r="O24" s="2"/>
    </row>
    <row r="25" spans="2:15" x14ac:dyDescent="0.3">
      <c r="B25" s="6">
        <v>2007</v>
      </c>
      <c r="C25" s="6">
        <v>11</v>
      </c>
      <c r="D25" s="6">
        <v>93.357529489064774</v>
      </c>
      <c r="E25" s="6">
        <v>96.790281875528933</v>
      </c>
      <c r="F25" s="6">
        <v>103.33157014316718</v>
      </c>
      <c r="G25" s="3">
        <v>107.79</v>
      </c>
      <c r="H25" s="11">
        <v>134.63657932335093</v>
      </c>
      <c r="I25" s="11">
        <v>57.510504201680682</v>
      </c>
      <c r="J25" s="11">
        <v>35.365170824579828</v>
      </c>
      <c r="K25" s="2">
        <v>734.00211892013374</v>
      </c>
      <c r="L25" s="2"/>
      <c r="M25" s="2"/>
      <c r="N25" s="2"/>
      <c r="O25" s="2"/>
    </row>
    <row r="26" spans="2:15" x14ac:dyDescent="0.3">
      <c r="B26" s="6">
        <v>2007</v>
      </c>
      <c r="C26" s="6">
        <v>12</v>
      </c>
      <c r="D26" s="6">
        <v>92.747410907042948</v>
      </c>
      <c r="E26" s="6">
        <v>97.431274101453269</v>
      </c>
      <c r="F26" s="6">
        <v>103.391921286743</v>
      </c>
      <c r="G26" s="3">
        <v>107.86</v>
      </c>
      <c r="H26" s="11">
        <v>119.54791794880455</v>
      </c>
      <c r="I26" s="11">
        <v>61.840512022141489</v>
      </c>
      <c r="J26" s="11">
        <v>41.115093495934964</v>
      </c>
      <c r="K26" s="2">
        <v>770.8979916626796</v>
      </c>
      <c r="L26" s="2"/>
      <c r="M26" s="2"/>
      <c r="N26" s="2"/>
      <c r="O26" s="2"/>
    </row>
    <row r="27" spans="2:15" x14ac:dyDescent="0.3">
      <c r="B27" s="6">
        <v>2008</v>
      </c>
      <c r="C27" s="6">
        <v>1</v>
      </c>
      <c r="D27" s="6">
        <v>92.231156722255236</v>
      </c>
      <c r="E27" s="6">
        <v>95.221648728697446</v>
      </c>
      <c r="F27" s="6">
        <v>103.26343501624908</v>
      </c>
      <c r="G27" s="3">
        <v>112.88</v>
      </c>
      <c r="H27" s="11">
        <v>134.73908168226487</v>
      </c>
      <c r="I27" s="11">
        <v>51.943613840239209</v>
      </c>
      <c r="J27" s="11">
        <v>53.182282289619835</v>
      </c>
      <c r="K27" s="2">
        <v>743.81227833961032</v>
      </c>
      <c r="L27" s="2"/>
      <c r="M27" s="2"/>
      <c r="N27" s="2"/>
      <c r="O27" s="2"/>
    </row>
    <row r="28" spans="2:15" x14ac:dyDescent="0.3">
      <c r="B28" s="6">
        <v>2008</v>
      </c>
      <c r="C28" s="6">
        <v>2</v>
      </c>
      <c r="D28" s="6">
        <v>90.992146678764726</v>
      </c>
      <c r="E28" s="6">
        <v>96.804705112870579</v>
      </c>
      <c r="F28" s="6">
        <v>102.88565909741682</v>
      </c>
      <c r="G28" s="3">
        <v>117.51</v>
      </c>
      <c r="H28" s="11">
        <v>140.90908415479373</v>
      </c>
      <c r="I28" s="11">
        <v>53.049953978746544</v>
      </c>
      <c r="J28" s="11">
        <v>52.297182553761189</v>
      </c>
      <c r="K28" s="2">
        <v>757.0425282999704</v>
      </c>
      <c r="L28" s="2"/>
      <c r="M28" s="2"/>
      <c r="N28" s="2"/>
      <c r="O28" s="2"/>
    </row>
    <row r="29" spans="2:15" x14ac:dyDescent="0.3">
      <c r="B29" s="6">
        <v>2008</v>
      </c>
      <c r="C29" s="6">
        <v>3</v>
      </c>
      <c r="D29" s="6">
        <v>90.203685741998044</v>
      </c>
      <c r="E29" s="6">
        <v>100.09192380994787</v>
      </c>
      <c r="F29" s="6">
        <v>102.55731652734265</v>
      </c>
      <c r="G29" s="3">
        <v>114.5</v>
      </c>
      <c r="H29" s="11">
        <v>143.94964925142068</v>
      </c>
      <c r="I29" s="11">
        <v>58.886509635974306</v>
      </c>
      <c r="J29" s="11">
        <v>65.717812518530721</v>
      </c>
      <c r="K29" s="2">
        <v>746.62998095592661</v>
      </c>
      <c r="L29" s="2"/>
      <c r="M29" s="2"/>
      <c r="N29" s="2"/>
      <c r="O29" s="2"/>
    </row>
    <row r="30" spans="2:15" x14ac:dyDescent="0.3">
      <c r="B30" s="6">
        <v>2008</v>
      </c>
      <c r="C30" s="6">
        <v>4</v>
      </c>
      <c r="D30" s="6">
        <v>89.462157003848432</v>
      </c>
      <c r="E30" s="6">
        <v>98.651091840424172</v>
      </c>
      <c r="F30" s="6">
        <v>101.85433184991167</v>
      </c>
      <c r="G30" s="3">
        <v>126.46</v>
      </c>
      <c r="H30" s="11">
        <v>144.35311411849386</v>
      </c>
      <c r="I30" s="11">
        <v>54.995938261575958</v>
      </c>
      <c r="J30" s="11">
        <v>69.110007075548339</v>
      </c>
      <c r="K30" s="2">
        <v>788.22141379502102</v>
      </c>
      <c r="L30" s="2"/>
      <c r="M30" s="2"/>
      <c r="N30" s="2"/>
      <c r="O30" s="2"/>
    </row>
    <row r="31" spans="2:15" x14ac:dyDescent="0.3">
      <c r="B31" s="6">
        <v>2008</v>
      </c>
      <c r="C31" s="6">
        <v>5</v>
      </c>
      <c r="D31" s="6">
        <v>87.960326648102352</v>
      </c>
      <c r="E31" s="6">
        <v>93.8963499445981</v>
      </c>
      <c r="F31" s="6">
        <v>101.22574992234972</v>
      </c>
      <c r="G31" s="3">
        <v>86.53</v>
      </c>
      <c r="H31" s="11">
        <v>118.61904624660127</v>
      </c>
      <c r="I31" s="11">
        <v>58.168023393661571</v>
      </c>
      <c r="J31" s="11">
        <v>51.352768774203739</v>
      </c>
      <c r="K31" s="2">
        <v>739.2631747388167</v>
      </c>
      <c r="L31" s="2"/>
      <c r="M31" s="2"/>
      <c r="N31" s="2"/>
      <c r="O31" s="2"/>
    </row>
    <row r="32" spans="2:15" x14ac:dyDescent="0.3">
      <c r="B32" s="6">
        <v>2008</v>
      </c>
      <c r="C32" s="6">
        <v>6</v>
      </c>
      <c r="D32" s="6">
        <v>87.43468602359124</v>
      </c>
      <c r="E32" s="6">
        <v>87.330683552982208</v>
      </c>
      <c r="F32" s="6">
        <v>100.96210539563992</v>
      </c>
      <c r="G32" s="3">
        <v>94.04</v>
      </c>
      <c r="H32" s="11">
        <v>159.00260709000463</v>
      </c>
      <c r="I32" s="11">
        <v>51.694784089150282</v>
      </c>
      <c r="J32" s="11">
        <v>49.019668859309704</v>
      </c>
      <c r="K32" s="2">
        <v>760.65239335289948</v>
      </c>
      <c r="L32" s="2"/>
      <c r="M32" s="2"/>
      <c r="N32" s="2"/>
      <c r="O32" s="2"/>
    </row>
    <row r="33" spans="2:15" x14ac:dyDescent="0.3">
      <c r="B33" s="6">
        <v>2008</v>
      </c>
      <c r="C33" s="6">
        <v>7</v>
      </c>
      <c r="D33" s="6">
        <v>87.303275867463469</v>
      </c>
      <c r="E33" s="6">
        <v>83.602907219333957</v>
      </c>
      <c r="F33" s="6">
        <v>100.50376019468047</v>
      </c>
      <c r="G33" s="3">
        <v>112.2</v>
      </c>
      <c r="H33" s="11">
        <v>130.71735227312288</v>
      </c>
      <c r="I33" s="11">
        <v>51.131152552736168</v>
      </c>
      <c r="J33" s="11">
        <v>55.291138741974919</v>
      </c>
      <c r="K33" s="2">
        <v>733.91115371152819</v>
      </c>
      <c r="L33" s="2"/>
      <c r="M33" s="2"/>
      <c r="N33" s="2"/>
      <c r="O33" s="2"/>
    </row>
    <row r="34" spans="2:15" x14ac:dyDescent="0.3">
      <c r="B34" s="6">
        <v>2008</v>
      </c>
      <c r="C34" s="6">
        <v>8</v>
      </c>
      <c r="D34" s="6">
        <v>87.181252151059084</v>
      </c>
      <c r="E34" s="6">
        <v>88.152841437647027</v>
      </c>
      <c r="F34" s="6">
        <v>98.916333046320034</v>
      </c>
      <c r="G34" s="3">
        <v>104.89</v>
      </c>
      <c r="H34" s="11">
        <v>140.68695269464791</v>
      </c>
      <c r="I34" s="11">
        <v>52.851711026615966</v>
      </c>
      <c r="J34" s="11">
        <v>51.831488790874523</v>
      </c>
      <c r="K34" s="2">
        <v>756.2226586419572</v>
      </c>
      <c r="L34" s="2"/>
      <c r="M34" s="2"/>
      <c r="N34" s="2"/>
      <c r="O34" s="2"/>
    </row>
    <row r="35" spans="2:15" x14ac:dyDescent="0.3">
      <c r="B35" s="6">
        <v>2008</v>
      </c>
      <c r="C35" s="6">
        <v>9</v>
      </c>
      <c r="D35" s="6">
        <v>86.880886079909885</v>
      </c>
      <c r="E35" s="6">
        <v>94.221114938092271</v>
      </c>
      <c r="F35" s="6">
        <v>94.578025966660803</v>
      </c>
      <c r="G35" s="3">
        <v>98.23</v>
      </c>
      <c r="H35" s="11">
        <v>128.56959126011003</v>
      </c>
      <c r="I35" s="11">
        <v>53.725906814387614</v>
      </c>
      <c r="J35" s="11">
        <v>47.106619395962966</v>
      </c>
      <c r="K35" s="2">
        <v>749.35113308357575</v>
      </c>
      <c r="L35" s="2"/>
      <c r="M35" s="2"/>
      <c r="N35" s="2"/>
      <c r="O35" s="2"/>
    </row>
    <row r="36" spans="2:15" x14ac:dyDescent="0.3">
      <c r="B36" s="6">
        <v>2008</v>
      </c>
      <c r="C36" s="6">
        <v>10</v>
      </c>
      <c r="D36" s="6">
        <v>87.096774193548384</v>
      </c>
      <c r="E36" s="6">
        <v>89.999937611735632</v>
      </c>
      <c r="F36" s="6">
        <v>95.529188294809799</v>
      </c>
      <c r="G36" s="3">
        <v>92.83</v>
      </c>
      <c r="H36" s="11">
        <v>130.7483442609784</v>
      </c>
      <c r="I36" s="11">
        <v>51.233396584440229</v>
      </c>
      <c r="J36" s="11">
        <v>42.354080485768506</v>
      </c>
      <c r="K36" s="2">
        <v>763.30800496793722</v>
      </c>
      <c r="L36" s="2"/>
      <c r="M36" s="2"/>
      <c r="N36" s="2"/>
      <c r="O36" s="2"/>
    </row>
    <row r="37" spans="2:15" x14ac:dyDescent="0.3">
      <c r="B37" s="6">
        <v>2008</v>
      </c>
      <c r="C37" s="6">
        <v>11</v>
      </c>
      <c r="D37" s="6">
        <v>85.848377710334447</v>
      </c>
      <c r="E37" s="6">
        <v>97.765560101467031</v>
      </c>
      <c r="F37" s="6">
        <v>94.278898606793362</v>
      </c>
      <c r="G37" s="3">
        <v>91.75</v>
      </c>
      <c r="H37" s="11">
        <v>117.55370152261642</v>
      </c>
      <c r="I37" s="11">
        <v>50.128924617018043</v>
      </c>
      <c r="J37" s="11">
        <v>24.344587827999391</v>
      </c>
      <c r="K37" s="2">
        <v>745.44190237232328</v>
      </c>
      <c r="L37" s="2"/>
      <c r="M37" s="2"/>
      <c r="N37" s="2"/>
      <c r="O37" s="2"/>
    </row>
    <row r="38" spans="2:15" x14ac:dyDescent="0.3">
      <c r="B38" s="6">
        <v>2008</v>
      </c>
      <c r="C38" s="6">
        <v>12</v>
      </c>
      <c r="D38" s="6">
        <v>85.623103156972547</v>
      </c>
      <c r="E38" s="6">
        <v>93.185542479725015</v>
      </c>
      <c r="F38" s="6">
        <v>91.615057761958212</v>
      </c>
      <c r="G38" s="3">
        <v>110.18</v>
      </c>
      <c r="H38" s="11">
        <v>100.12272294521421</v>
      </c>
      <c r="I38" s="11">
        <v>55.872291904218919</v>
      </c>
      <c r="J38" s="11">
        <v>34.222906636259971</v>
      </c>
      <c r="K38" s="2">
        <v>803.70968810222121</v>
      </c>
      <c r="L38" s="2"/>
      <c r="M38" s="2"/>
      <c r="N38" s="2"/>
      <c r="O38" s="2"/>
    </row>
    <row r="39" spans="2:15" x14ac:dyDescent="0.3">
      <c r="B39" s="6">
        <v>2009</v>
      </c>
      <c r="C39" s="6">
        <v>1</v>
      </c>
      <c r="D39" s="6">
        <v>86.308313256781688</v>
      </c>
      <c r="E39" s="6">
        <v>99.523827103298899</v>
      </c>
      <c r="F39" s="6">
        <v>89.335058277520758</v>
      </c>
      <c r="G39" s="3">
        <v>98.89</v>
      </c>
      <c r="H39" s="11">
        <v>105.15522340558741</v>
      </c>
      <c r="I39" s="11">
        <v>47.633518194940365</v>
      </c>
      <c r="J39" s="11">
        <v>36.040515497986782</v>
      </c>
      <c r="K39" s="2">
        <v>777.23081558116428</v>
      </c>
      <c r="L39" s="2"/>
      <c r="M39" s="2"/>
      <c r="N39" s="2"/>
      <c r="O39" s="2"/>
    </row>
    <row r="40" spans="2:15" x14ac:dyDescent="0.3">
      <c r="B40" s="6">
        <v>2009</v>
      </c>
      <c r="C40" s="6">
        <v>2</v>
      </c>
      <c r="D40" s="6">
        <v>86.486655611526544</v>
      </c>
      <c r="E40" s="6">
        <v>110.09053906205013</v>
      </c>
      <c r="F40" s="6">
        <v>88.801097238379199</v>
      </c>
      <c r="G40" s="3">
        <v>110.57</v>
      </c>
      <c r="H40" s="11">
        <v>121.89249535869287</v>
      </c>
      <c r="I40" s="11">
        <v>47.435606918951585</v>
      </c>
      <c r="J40" s="11">
        <v>39.718763290278723</v>
      </c>
      <c r="K40" s="2">
        <v>793.01088616011202</v>
      </c>
      <c r="L40" s="2"/>
      <c r="M40" s="2"/>
      <c r="N40" s="2"/>
      <c r="O40" s="2"/>
    </row>
    <row r="41" spans="2:15" x14ac:dyDescent="0.3">
      <c r="B41" s="6">
        <v>2009</v>
      </c>
      <c r="C41" s="6">
        <v>3</v>
      </c>
      <c r="D41" s="6">
        <v>86.993523356590842</v>
      </c>
      <c r="E41" s="6">
        <v>96.905154278561412</v>
      </c>
      <c r="F41" s="6">
        <v>87.41201002920765</v>
      </c>
      <c r="G41" s="3">
        <v>102.46</v>
      </c>
      <c r="H41" s="11">
        <v>131.29799705296176</v>
      </c>
      <c r="I41" s="11">
        <v>53.458880704685249</v>
      </c>
      <c r="J41" s="11">
        <v>52.076523061735891</v>
      </c>
      <c r="K41" s="2">
        <v>800.78524815871924</v>
      </c>
      <c r="L41" s="2"/>
      <c r="M41" s="2"/>
      <c r="N41" s="2"/>
      <c r="O41" s="2"/>
    </row>
    <row r="42" spans="2:15" x14ac:dyDescent="0.3">
      <c r="B42" s="6">
        <v>2009</v>
      </c>
      <c r="C42" s="6">
        <v>4</v>
      </c>
      <c r="D42" s="6">
        <v>87.059228434654727</v>
      </c>
      <c r="E42" s="6">
        <v>117.09661101839481</v>
      </c>
      <c r="F42" s="6">
        <v>86.726008588159814</v>
      </c>
      <c r="G42" s="3">
        <v>96.73</v>
      </c>
      <c r="H42" s="11">
        <v>109.91755332971096</v>
      </c>
      <c r="I42" s="11">
        <v>47.503230219654938</v>
      </c>
      <c r="J42" s="11">
        <v>46.12367067720605</v>
      </c>
      <c r="K42" s="2">
        <v>845.67147640455437</v>
      </c>
      <c r="L42" s="2"/>
      <c r="M42" s="2"/>
      <c r="N42" s="2"/>
      <c r="O42" s="2"/>
    </row>
    <row r="43" spans="2:15" x14ac:dyDescent="0.3">
      <c r="B43" s="6">
        <v>2009</v>
      </c>
      <c r="C43" s="6">
        <v>5</v>
      </c>
      <c r="D43" s="6">
        <v>87.78198429335751</v>
      </c>
      <c r="E43" s="6">
        <v>100.92242367757022</v>
      </c>
      <c r="F43" s="6">
        <v>85.870073692587766</v>
      </c>
      <c r="G43" s="3">
        <v>80.38</v>
      </c>
      <c r="H43" s="11">
        <v>109.06477290828936</v>
      </c>
      <c r="I43" s="11">
        <v>50.261939108647788</v>
      </c>
      <c r="J43" s="11">
        <v>49.218683987548388</v>
      </c>
      <c r="K43" s="2">
        <v>803.05830976489517</v>
      </c>
      <c r="L43" s="2"/>
      <c r="M43" s="2"/>
      <c r="N43" s="2"/>
      <c r="O43" s="2"/>
    </row>
    <row r="44" spans="2:15" x14ac:dyDescent="0.3">
      <c r="B44" s="6">
        <v>2009</v>
      </c>
      <c r="C44" s="6">
        <v>6</v>
      </c>
      <c r="D44" s="6">
        <v>88.964675698507548</v>
      </c>
      <c r="E44" s="6">
        <v>94.337905344907227</v>
      </c>
      <c r="F44" s="6">
        <v>85.598139729071903</v>
      </c>
      <c r="G44" s="3">
        <v>78.430000000000007</v>
      </c>
      <c r="H44" s="11">
        <v>117.79691167175559</v>
      </c>
      <c r="I44" s="11">
        <v>47.134724857685015</v>
      </c>
      <c r="J44" s="11">
        <v>48.920266497153698</v>
      </c>
      <c r="K44" s="2">
        <v>802.12699005274567</v>
      </c>
      <c r="L44" s="2"/>
      <c r="M44" s="2"/>
      <c r="N44" s="2"/>
      <c r="O44" s="2"/>
    </row>
    <row r="45" spans="2:15" x14ac:dyDescent="0.3">
      <c r="B45" s="6">
        <v>2009</v>
      </c>
      <c r="C45" s="6">
        <v>7</v>
      </c>
      <c r="D45" s="6">
        <v>89.922092550295659</v>
      </c>
      <c r="E45" s="6">
        <v>100.17431935202335</v>
      </c>
      <c r="F45" s="6">
        <v>86.619863360765152</v>
      </c>
      <c r="G45" s="3">
        <v>111.01</v>
      </c>
      <c r="H45" s="11">
        <v>129.84668860851306</v>
      </c>
      <c r="I45" s="11">
        <v>46.815335268061709</v>
      </c>
      <c r="J45" s="11">
        <v>42.478522170459755</v>
      </c>
      <c r="K45" s="2">
        <v>790.38717704093767</v>
      </c>
      <c r="L45" s="2"/>
      <c r="M45" s="2"/>
      <c r="N45" s="2"/>
      <c r="O45" s="2"/>
    </row>
    <row r="46" spans="2:15" x14ac:dyDescent="0.3">
      <c r="B46" s="6">
        <v>2009</v>
      </c>
      <c r="C46" s="6">
        <v>8</v>
      </c>
      <c r="D46" s="6">
        <v>90.494665373423842</v>
      </c>
      <c r="E46" s="6">
        <v>98.662573409490932</v>
      </c>
      <c r="F46" s="6">
        <v>87.584268569665284</v>
      </c>
      <c r="G46" s="3">
        <v>108.28</v>
      </c>
      <c r="H46" s="11">
        <v>141.14153247494366</v>
      </c>
      <c r="I46" s="11">
        <v>46.215928125475862</v>
      </c>
      <c r="J46" s="11">
        <v>43.236911847114364</v>
      </c>
      <c r="K46" s="2">
        <v>850.21934227525139</v>
      </c>
      <c r="L46" s="2"/>
      <c r="M46" s="2"/>
      <c r="N46" s="2"/>
      <c r="O46" s="2"/>
    </row>
    <row r="47" spans="2:15" x14ac:dyDescent="0.3">
      <c r="B47" s="6">
        <v>2009</v>
      </c>
      <c r="C47" s="6">
        <v>9</v>
      </c>
      <c r="D47" s="6">
        <v>90.71993992678577</v>
      </c>
      <c r="E47" s="6">
        <v>100.90913010323361</v>
      </c>
      <c r="F47" s="6">
        <v>88.335170235462982</v>
      </c>
      <c r="G47" s="3">
        <v>94.19</v>
      </c>
      <c r="H47" s="11">
        <v>151.73467931754914</v>
      </c>
      <c r="I47" s="11">
        <v>47.196297139388427</v>
      </c>
      <c r="J47" s="11">
        <v>44.728299476439794</v>
      </c>
      <c r="K47" s="2">
        <v>826.04825615127788</v>
      </c>
      <c r="L47" s="2"/>
      <c r="M47" s="2"/>
      <c r="N47" s="2"/>
      <c r="O47" s="2"/>
    </row>
    <row r="48" spans="2:15" x14ac:dyDescent="0.3">
      <c r="B48" s="6">
        <v>2009</v>
      </c>
      <c r="C48" s="6">
        <v>10</v>
      </c>
      <c r="D48" s="6">
        <v>90.992146678764726</v>
      </c>
      <c r="E48" s="6">
        <v>99.460532267615605</v>
      </c>
      <c r="F48" s="6">
        <v>88.536138532663557</v>
      </c>
      <c r="G48" s="3">
        <v>98.27</v>
      </c>
      <c r="H48" s="11">
        <v>136.87773952089788</v>
      </c>
      <c r="I48" s="11">
        <v>48.673569647041042</v>
      </c>
      <c r="J48" s="11">
        <v>33.461465739551059</v>
      </c>
      <c r="K48" s="2">
        <v>801.40499624131701</v>
      </c>
      <c r="L48" s="2"/>
      <c r="M48" s="2"/>
      <c r="N48" s="2"/>
      <c r="O48" s="2"/>
    </row>
    <row r="49" spans="2:15" x14ac:dyDescent="0.3">
      <c r="B49" s="6">
        <v>2009</v>
      </c>
      <c r="C49" s="6">
        <v>11</v>
      </c>
      <c r="D49" s="6">
        <v>91.480241544382196</v>
      </c>
      <c r="E49" s="6">
        <v>99.159572198144147</v>
      </c>
      <c r="F49" s="6">
        <v>88.897942122040234</v>
      </c>
      <c r="G49" s="3">
        <v>106.52</v>
      </c>
      <c r="H49" s="11">
        <v>132.78035904935987</v>
      </c>
      <c r="I49" s="11">
        <v>46.727560957197852</v>
      </c>
      <c r="J49" s="11">
        <v>25.861507141239525</v>
      </c>
      <c r="K49" s="2">
        <v>792.99669714394611</v>
      </c>
      <c r="L49" s="2"/>
      <c r="M49" s="2"/>
      <c r="N49" s="2"/>
      <c r="O49" s="2"/>
    </row>
    <row r="50" spans="2:15" x14ac:dyDescent="0.3">
      <c r="B50" s="6">
        <v>2009</v>
      </c>
      <c r="C50" s="6">
        <v>12</v>
      </c>
      <c r="D50" s="6">
        <v>91.564719501892924</v>
      </c>
      <c r="E50" s="6">
        <v>101.59718976078118</v>
      </c>
      <c r="F50" s="6">
        <v>89.202831651394817</v>
      </c>
      <c r="G50" s="3">
        <v>107.11</v>
      </c>
      <c r="H50" s="11">
        <v>120.09196033830938</v>
      </c>
      <c r="I50" s="11">
        <v>53.62253351408345</v>
      </c>
      <c r="J50" s="11">
        <v>31.764461507757186</v>
      </c>
      <c r="K50" s="2">
        <v>858.94338918140943</v>
      </c>
      <c r="L50" s="2"/>
      <c r="M50" s="2"/>
      <c r="N50" s="2"/>
      <c r="O50" s="2"/>
    </row>
    <row r="51" spans="2:15" x14ac:dyDescent="0.3">
      <c r="B51" s="6">
        <v>2010</v>
      </c>
      <c r="C51" s="6">
        <v>1</v>
      </c>
      <c r="D51" s="6">
        <v>91.33944494853101</v>
      </c>
      <c r="E51" s="6">
        <v>96.182458254473175</v>
      </c>
      <c r="F51" s="6">
        <v>90.162485597735383</v>
      </c>
      <c r="G51" s="3">
        <v>100.74</v>
      </c>
      <c r="H51" s="11">
        <v>126.06656439011263</v>
      </c>
      <c r="I51" s="11">
        <v>45.274856418288955</v>
      </c>
      <c r="J51" s="11">
        <v>46.81523971805774</v>
      </c>
      <c r="K51" s="2">
        <v>811.94120793510967</v>
      </c>
      <c r="L51" s="2"/>
      <c r="M51" s="2"/>
      <c r="N51" s="2"/>
      <c r="O51" s="2"/>
    </row>
    <row r="52" spans="2:15" x14ac:dyDescent="0.3">
      <c r="B52" s="6">
        <v>2010</v>
      </c>
      <c r="C52" s="6">
        <v>2</v>
      </c>
      <c r="D52" s="6">
        <v>90.4571196145302</v>
      </c>
      <c r="E52" s="6">
        <v>100.95213895858176</v>
      </c>
      <c r="F52" s="6">
        <v>90.48082018922662</v>
      </c>
      <c r="G52" s="3">
        <v>108.84</v>
      </c>
      <c r="H52" s="11">
        <v>120.80358109525584</v>
      </c>
      <c r="I52" s="11">
        <v>47.125422731951176</v>
      </c>
      <c r="J52" s="11">
        <v>56.417557138656072</v>
      </c>
      <c r="K52" s="2">
        <v>723.49276833054125</v>
      </c>
      <c r="L52" s="2"/>
      <c r="M52" s="2"/>
      <c r="N52" s="2"/>
      <c r="O52" s="2"/>
    </row>
    <row r="53" spans="2:15" x14ac:dyDescent="0.3">
      <c r="B53" s="6">
        <v>2010</v>
      </c>
      <c r="C53" s="6">
        <v>3</v>
      </c>
      <c r="D53" s="6">
        <v>89.856387472231773</v>
      </c>
      <c r="E53" s="6">
        <v>104.53253047397797</v>
      </c>
      <c r="F53" s="6">
        <v>91.118702460522201</v>
      </c>
      <c r="G53" s="3">
        <v>122.91</v>
      </c>
      <c r="H53" s="11">
        <v>181.86306354639973</v>
      </c>
      <c r="I53" s="11">
        <v>55.991855730075621</v>
      </c>
      <c r="J53" s="11">
        <v>72.896445484293181</v>
      </c>
      <c r="K53" s="2">
        <v>707.81198985093397</v>
      </c>
      <c r="L53" s="2"/>
      <c r="M53" s="2"/>
      <c r="N53" s="2"/>
      <c r="O53" s="2"/>
    </row>
    <row r="54" spans="2:15" x14ac:dyDescent="0.3">
      <c r="B54" s="6">
        <v>2010</v>
      </c>
      <c r="C54" s="6">
        <v>4</v>
      </c>
      <c r="D54" s="6">
        <v>89.865773911955174</v>
      </c>
      <c r="E54" s="6">
        <v>100.57203814071529</v>
      </c>
      <c r="F54" s="6">
        <v>91.447348302674655</v>
      </c>
      <c r="G54" s="3">
        <v>105.29</v>
      </c>
      <c r="H54" s="11">
        <v>127.39063501843492</v>
      </c>
      <c r="I54" s="11">
        <v>46.248640811888372</v>
      </c>
      <c r="J54" s="11">
        <v>62.428575338890901</v>
      </c>
      <c r="K54" s="2">
        <v>719.97736178188654</v>
      </c>
      <c r="L54" s="2"/>
      <c r="M54" s="2"/>
      <c r="N54" s="2"/>
      <c r="O54" s="2"/>
    </row>
    <row r="55" spans="2:15" x14ac:dyDescent="0.3">
      <c r="B55" s="6">
        <v>2010</v>
      </c>
      <c r="C55" s="6">
        <v>5</v>
      </c>
      <c r="D55" s="6">
        <v>90.203685741998044</v>
      </c>
      <c r="E55" s="6">
        <v>95.753057795744937</v>
      </c>
      <c r="F55" s="6">
        <v>92.7015805277086</v>
      </c>
      <c r="G55" s="3">
        <v>96.88</v>
      </c>
      <c r="H55" s="11">
        <v>141.00428422653226</v>
      </c>
      <c r="I55" s="11">
        <v>50.917531007470807</v>
      </c>
      <c r="J55" s="11">
        <v>57.827483223326325</v>
      </c>
      <c r="K55" s="2">
        <v>671.84384927878966</v>
      </c>
      <c r="L55" s="2"/>
      <c r="M55" s="2"/>
      <c r="N55" s="2"/>
      <c r="O55" s="2"/>
    </row>
    <row r="56" spans="2:15" x14ac:dyDescent="0.3">
      <c r="B56" s="6">
        <v>2010</v>
      </c>
      <c r="C56" s="6">
        <v>6</v>
      </c>
      <c r="D56" s="6">
        <v>90.494665373423842</v>
      </c>
      <c r="E56" s="6">
        <v>102.49612795968352</v>
      </c>
      <c r="F56" s="6">
        <v>92.905682636384626</v>
      </c>
      <c r="G56" s="3">
        <v>97.11</v>
      </c>
      <c r="H56" s="11">
        <v>171.9974080379659</v>
      </c>
      <c r="I56" s="11">
        <v>46.064562930721806</v>
      </c>
      <c r="J56" s="11">
        <v>69.856889633659776</v>
      </c>
      <c r="K56" s="2">
        <v>653.10933413807618</v>
      </c>
      <c r="L56" s="2"/>
      <c r="M56" s="2"/>
      <c r="N56" s="2"/>
      <c r="O56" s="2"/>
    </row>
    <row r="57" spans="2:15" x14ac:dyDescent="0.3">
      <c r="B57" s="6">
        <v>2010</v>
      </c>
      <c r="C57" s="6">
        <v>7</v>
      </c>
      <c r="D57" s="6">
        <v>90.241231500891701</v>
      </c>
      <c r="E57" s="6">
        <v>106.42410359829087</v>
      </c>
      <c r="F57" s="6">
        <v>93.261117512117636</v>
      </c>
      <c r="G57" s="3">
        <v>120.83</v>
      </c>
      <c r="H57" s="11">
        <v>160.54805931709262</v>
      </c>
      <c r="I57" s="11">
        <v>47.821084423989646</v>
      </c>
      <c r="J57" s="11">
        <v>54.072286552567249</v>
      </c>
      <c r="K57" s="2">
        <v>642.2309141443136</v>
      </c>
      <c r="L57" s="2"/>
      <c r="M57" s="2"/>
      <c r="N57" s="2"/>
      <c r="O57" s="2"/>
    </row>
    <row r="58" spans="2:15" x14ac:dyDescent="0.3">
      <c r="B58" s="6">
        <v>2010</v>
      </c>
      <c r="C58" s="6">
        <v>8</v>
      </c>
      <c r="D58" s="6">
        <v>91.283126310190539</v>
      </c>
      <c r="E58" s="6">
        <v>103.72687475655214</v>
      </c>
      <c r="F58" s="6">
        <v>93.603511688485</v>
      </c>
      <c r="G58" s="3">
        <v>105.57</v>
      </c>
      <c r="H58" s="11">
        <v>162.44986282970146</v>
      </c>
      <c r="I58" s="11">
        <v>48.066498012287681</v>
      </c>
      <c r="J58" s="11">
        <v>50.882818764004348</v>
      </c>
      <c r="K58" s="2">
        <v>691.87628524802255</v>
      </c>
      <c r="L58" s="2"/>
      <c r="M58" s="2"/>
      <c r="N58" s="2"/>
      <c r="O58" s="2"/>
    </row>
    <row r="59" spans="2:15" x14ac:dyDescent="0.3">
      <c r="B59" s="6">
        <v>2010</v>
      </c>
      <c r="C59" s="6">
        <v>9</v>
      </c>
      <c r="D59" s="6">
        <v>91.423922906041724</v>
      </c>
      <c r="E59" s="6">
        <v>106.85246123672265</v>
      </c>
      <c r="F59" s="6">
        <v>93.866044217574483</v>
      </c>
      <c r="G59" s="3">
        <v>109.19</v>
      </c>
      <c r="H59" s="11">
        <v>167.77945653023247</v>
      </c>
      <c r="I59" s="11">
        <v>48.870015834173032</v>
      </c>
      <c r="J59" s="11">
        <v>44.324348193464807</v>
      </c>
      <c r="K59" s="2">
        <v>662.22414457482125</v>
      </c>
      <c r="L59" s="2"/>
      <c r="M59" s="2"/>
      <c r="N59" s="2"/>
      <c r="O59" s="2"/>
    </row>
    <row r="60" spans="2:15" x14ac:dyDescent="0.3">
      <c r="B60" s="6">
        <v>2010</v>
      </c>
      <c r="C60" s="6">
        <v>10</v>
      </c>
      <c r="D60" s="6">
        <v>90.231845061168286</v>
      </c>
      <c r="E60" s="6">
        <v>104.7236755935707</v>
      </c>
      <c r="F60" s="6">
        <v>93.613317485682416</v>
      </c>
      <c r="G60" s="3">
        <v>99.64</v>
      </c>
      <c r="H60" s="11">
        <v>152.34760284960473</v>
      </c>
      <c r="I60" s="11">
        <v>49.534949267192786</v>
      </c>
      <c r="J60" s="11">
        <v>41.555123576662915</v>
      </c>
      <c r="K60" s="2">
        <v>604.04170952013658</v>
      </c>
      <c r="L60" s="2"/>
      <c r="M60" s="2"/>
      <c r="N60" s="2"/>
      <c r="O60" s="2"/>
    </row>
    <row r="61" spans="2:15" x14ac:dyDescent="0.3">
      <c r="B61" s="6">
        <v>2010</v>
      </c>
      <c r="C61" s="6">
        <v>11</v>
      </c>
      <c r="D61" s="6">
        <v>89.171177372422633</v>
      </c>
      <c r="E61" s="6">
        <v>103.33794482274401</v>
      </c>
      <c r="F61" s="6">
        <v>93.67932970805262</v>
      </c>
      <c r="G61" s="3">
        <v>114.77</v>
      </c>
      <c r="H61" s="11">
        <v>158.95655057083133</v>
      </c>
      <c r="I61" s="11">
        <v>48.990354590243555</v>
      </c>
      <c r="J61" s="11">
        <v>44.898437811394075</v>
      </c>
      <c r="K61" s="2">
        <v>601.82148282078197</v>
      </c>
      <c r="L61" s="2"/>
      <c r="M61" s="2"/>
      <c r="N61" s="2"/>
      <c r="O61" s="2"/>
    </row>
    <row r="62" spans="2:15" x14ac:dyDescent="0.3">
      <c r="B62" s="6">
        <v>2010</v>
      </c>
      <c r="C62" s="6">
        <v>12</v>
      </c>
      <c r="D62" s="6">
        <v>89.199336691592862</v>
      </c>
      <c r="E62" s="6">
        <v>111.57018180122485</v>
      </c>
      <c r="F62" s="6">
        <v>94.612396802198134</v>
      </c>
      <c r="G62" s="3">
        <v>117.22</v>
      </c>
      <c r="H62" s="11">
        <v>149.5368261120575</v>
      </c>
      <c r="I62" s="11">
        <v>56.333172447079917</v>
      </c>
      <c r="J62" s="11">
        <v>57.938253871612766</v>
      </c>
      <c r="K62" s="2">
        <v>667.76324671852592</v>
      </c>
      <c r="L62" s="2"/>
      <c r="M62" s="2"/>
      <c r="N62" s="2"/>
      <c r="O62" s="2"/>
    </row>
    <row r="63" spans="2:15" x14ac:dyDescent="0.3">
      <c r="B63" s="6">
        <v>2011</v>
      </c>
      <c r="C63" s="6">
        <v>1</v>
      </c>
      <c r="D63" s="6">
        <v>90.278777259785358</v>
      </c>
      <c r="E63" s="6">
        <v>111.59860969117463</v>
      </c>
      <c r="F63" s="6">
        <v>94.407485967980051</v>
      </c>
      <c r="G63" s="3">
        <v>111.78</v>
      </c>
      <c r="H63" s="11">
        <v>136.27555722575127</v>
      </c>
      <c r="I63" s="11">
        <v>46.540533075542058</v>
      </c>
      <c r="J63" s="11">
        <v>73.815097099848089</v>
      </c>
      <c r="K63" s="2">
        <v>638.37757235684705</v>
      </c>
      <c r="L63" s="2"/>
      <c r="M63" s="2"/>
      <c r="N63" s="2"/>
      <c r="O63" s="2"/>
    </row>
    <row r="64" spans="2:15" x14ac:dyDescent="0.3">
      <c r="B64" s="6">
        <v>2011</v>
      </c>
      <c r="C64" s="6">
        <v>2</v>
      </c>
      <c r="D64" s="6">
        <v>90.363255217296057</v>
      </c>
      <c r="E64" s="6">
        <v>110.52626158149872</v>
      </c>
      <c r="F64" s="6">
        <v>94.018893345022789</v>
      </c>
      <c r="G64" s="3">
        <v>115.22</v>
      </c>
      <c r="H64" s="11">
        <v>144.74855565347823</v>
      </c>
      <c r="I64" s="11">
        <v>47.514569763455604</v>
      </c>
      <c r="J64" s="11">
        <v>73.032633102502572</v>
      </c>
      <c r="K64" s="2">
        <v>647.48209702131203</v>
      </c>
      <c r="L64" s="2"/>
      <c r="M64" s="2"/>
      <c r="N64" s="2"/>
      <c r="O64" s="2"/>
    </row>
    <row r="65" spans="2:71" x14ac:dyDescent="0.3">
      <c r="B65" s="6">
        <v>2011</v>
      </c>
      <c r="C65" s="6">
        <v>3</v>
      </c>
      <c r="D65" s="6">
        <v>90.513438252870685</v>
      </c>
      <c r="E65" s="6">
        <v>103.37436560663326</v>
      </c>
      <c r="F65" s="6">
        <v>94.993306532505855</v>
      </c>
      <c r="G65" s="3">
        <v>128.79</v>
      </c>
      <c r="H65" s="11">
        <v>196.61876527362691</v>
      </c>
      <c r="I65" s="11">
        <v>52.796512023979837</v>
      </c>
      <c r="J65" s="11">
        <v>91.301283520675796</v>
      </c>
      <c r="K65" s="2">
        <v>637.62797788930561</v>
      </c>
      <c r="L65" s="2"/>
      <c r="M65" s="2"/>
      <c r="N65" s="2"/>
      <c r="O65" s="2"/>
    </row>
    <row r="66" spans="2:71" x14ac:dyDescent="0.3">
      <c r="B66" s="6">
        <v>2011</v>
      </c>
      <c r="C66" s="6">
        <v>4</v>
      </c>
      <c r="D66" s="6">
        <v>90.475892493977028</v>
      </c>
      <c r="E66" s="6">
        <v>111.68316175207052</v>
      </c>
      <c r="F66" s="6">
        <v>94.678611205953857</v>
      </c>
      <c r="G66" s="3">
        <v>113.81</v>
      </c>
      <c r="H66" s="11">
        <v>144.4952326910788</v>
      </c>
      <c r="I66" s="11">
        <v>49.675148890092046</v>
      </c>
      <c r="J66" s="11">
        <v>75.841569260963723</v>
      </c>
      <c r="K66" s="2">
        <v>689.53605044657718</v>
      </c>
      <c r="L66" s="2"/>
      <c r="M66" s="2"/>
      <c r="N66" s="2"/>
      <c r="O66" s="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</row>
    <row r="67" spans="2:71" x14ac:dyDescent="0.3">
      <c r="B67" s="6">
        <v>2011</v>
      </c>
      <c r="C67" s="6">
        <v>5</v>
      </c>
      <c r="D67" s="6">
        <v>90.184912862551215</v>
      </c>
      <c r="E67" s="6">
        <v>116.06514232465469</v>
      </c>
      <c r="F67" s="6">
        <v>94.795067684009723</v>
      </c>
      <c r="G67" s="3">
        <v>100.72</v>
      </c>
      <c r="H67" s="11">
        <v>160.20168225874883</v>
      </c>
      <c r="I67" s="11">
        <v>52.109845947756192</v>
      </c>
      <c r="J67" s="11">
        <v>81.771912759544534</v>
      </c>
      <c r="K67" s="2">
        <v>644.63673403972996</v>
      </c>
      <c r="L67" s="2"/>
      <c r="M67" s="2"/>
      <c r="N67" s="2"/>
      <c r="O67" s="2"/>
    </row>
    <row r="68" spans="2:71" x14ac:dyDescent="0.3">
      <c r="B68" s="6">
        <v>2011</v>
      </c>
      <c r="C68" s="6">
        <v>6</v>
      </c>
      <c r="D68" s="6">
        <v>90.203685741998044</v>
      </c>
      <c r="E68" s="6">
        <v>110.10428517913249</v>
      </c>
      <c r="F68" s="6">
        <v>95.075088902946121</v>
      </c>
      <c r="G68" s="3">
        <v>107.66</v>
      </c>
      <c r="H68" s="11">
        <v>185.78585302447968</v>
      </c>
      <c r="I68" s="11">
        <v>46.579717859994673</v>
      </c>
      <c r="J68" s="11">
        <v>68.71105869709875</v>
      </c>
      <c r="K68" s="2">
        <v>640.22035149888461</v>
      </c>
      <c r="L68" s="2"/>
      <c r="M68" s="2"/>
      <c r="N68" s="2"/>
      <c r="O68" s="2"/>
    </row>
    <row r="69" spans="2:71" x14ac:dyDescent="0.3">
      <c r="B69" s="6">
        <v>2011</v>
      </c>
      <c r="C69" s="6">
        <v>7</v>
      </c>
      <c r="D69" s="6">
        <v>90.569756891211142</v>
      </c>
      <c r="E69" s="6">
        <v>106.38268128905412</v>
      </c>
      <c r="F69" s="6">
        <v>95.526458846105356</v>
      </c>
      <c r="G69" s="3">
        <v>131.16999999999999</v>
      </c>
      <c r="H69" s="11">
        <v>170.98748443858429</v>
      </c>
      <c r="I69" s="11">
        <v>49.399907167959682</v>
      </c>
      <c r="J69" s="11">
        <v>57.966057522710699</v>
      </c>
      <c r="K69" s="2">
        <v>613.61338431933518</v>
      </c>
      <c r="L69" s="2"/>
      <c r="M69" s="2"/>
      <c r="N69" s="2"/>
      <c r="O69" s="2"/>
    </row>
    <row r="70" spans="2:71" x14ac:dyDescent="0.3">
      <c r="B70" s="6">
        <v>2011</v>
      </c>
      <c r="C70" s="6">
        <v>8</v>
      </c>
      <c r="D70" s="6">
        <v>90.644848408998442</v>
      </c>
      <c r="E70" s="6">
        <v>108.11378071267322</v>
      </c>
      <c r="F70" s="6">
        <v>96.13462045373042</v>
      </c>
      <c r="G70" s="3">
        <v>126.07</v>
      </c>
      <c r="H70" s="11">
        <v>176.28154645589046</v>
      </c>
      <c r="I70" s="11">
        <v>50.932331817882314</v>
      </c>
      <c r="J70" s="11">
        <v>58.60068109639586</v>
      </c>
      <c r="K70" s="2">
        <v>659.83583394915649</v>
      </c>
      <c r="L70" s="2"/>
      <c r="M70" s="2"/>
      <c r="N70" s="2"/>
      <c r="O70" s="2"/>
    </row>
    <row r="71" spans="2:71" x14ac:dyDescent="0.3">
      <c r="B71" s="6">
        <v>2011</v>
      </c>
      <c r="C71" s="6">
        <v>9</v>
      </c>
      <c r="D71" s="6">
        <v>90.907668721254012</v>
      </c>
      <c r="E71" s="6">
        <v>110.31297943240703</v>
      </c>
      <c r="F71" s="6">
        <v>96.060824248017937</v>
      </c>
      <c r="G71" s="3">
        <v>119</v>
      </c>
      <c r="H71" s="11">
        <v>179.45307845374811</v>
      </c>
      <c r="I71" s="11">
        <v>49.168474331164134</v>
      </c>
      <c r="J71" s="11">
        <v>45.343609288108851</v>
      </c>
      <c r="K71" s="2">
        <v>656.0069627202281</v>
      </c>
      <c r="L71" s="2"/>
      <c r="M71" s="2"/>
      <c r="N71" s="2"/>
      <c r="O71" s="2"/>
    </row>
    <row r="72" spans="2:71" x14ac:dyDescent="0.3">
      <c r="B72" s="6">
        <v>2011</v>
      </c>
      <c r="C72" s="6">
        <v>10</v>
      </c>
      <c r="D72" s="6">
        <v>90.776258565126227</v>
      </c>
      <c r="E72" s="6">
        <v>109.31750603230374</v>
      </c>
      <c r="F72" s="6">
        <v>96.732774082772565</v>
      </c>
      <c r="G72" s="3">
        <v>119.75</v>
      </c>
      <c r="H72" s="11">
        <v>178.1493949212593</v>
      </c>
      <c r="I72" s="11">
        <v>51.970153161408561</v>
      </c>
      <c r="J72" s="11">
        <v>53.836264779421384</v>
      </c>
      <c r="K72" s="2">
        <v>668.21829096039369</v>
      </c>
      <c r="L72" s="2"/>
      <c r="M72" s="2"/>
      <c r="N72" s="2"/>
      <c r="O72" s="2"/>
    </row>
    <row r="73" spans="2:71" x14ac:dyDescent="0.3">
      <c r="B73" s="6">
        <v>2011</v>
      </c>
      <c r="C73" s="6">
        <v>11</v>
      </c>
      <c r="D73" s="6">
        <v>89.959638309189316</v>
      </c>
      <c r="E73" s="6">
        <v>109.23259179224343</v>
      </c>
      <c r="F73" s="6">
        <v>96.721350834491048</v>
      </c>
      <c r="G73" s="3">
        <v>125.4</v>
      </c>
      <c r="H73" s="11">
        <v>160.79918093894184</v>
      </c>
      <c r="I73" s="11">
        <v>48.93341952165482</v>
      </c>
      <c r="J73" s="11">
        <v>49.849971738849391</v>
      </c>
      <c r="K73" s="2">
        <v>668.95801812897844</v>
      </c>
      <c r="L73" s="2"/>
      <c r="M73" s="2"/>
      <c r="N73" s="2"/>
      <c r="O73" s="2"/>
    </row>
    <row r="74" spans="2:71" x14ac:dyDescent="0.3">
      <c r="B74" s="6">
        <v>2011</v>
      </c>
      <c r="C74" s="6">
        <v>12</v>
      </c>
      <c r="D74" s="6">
        <v>89.189950251869448</v>
      </c>
      <c r="E74" s="6">
        <v>112.08001113168693</v>
      </c>
      <c r="F74" s="6">
        <v>97.229938109750634</v>
      </c>
      <c r="G74" s="3">
        <v>127.49</v>
      </c>
      <c r="H74" s="11">
        <v>143.20276575942452</v>
      </c>
      <c r="I74" s="11">
        <v>60.356390113048477</v>
      </c>
      <c r="J74" s="11">
        <v>55.164683176853814</v>
      </c>
      <c r="K74" s="2">
        <v>729.16369200538509</v>
      </c>
      <c r="L74" s="2"/>
      <c r="M74" s="2"/>
      <c r="N74" s="2"/>
      <c r="O74" s="2"/>
    </row>
    <row r="75" spans="2:71" x14ac:dyDescent="0.3">
      <c r="B75" s="6">
        <v>2012</v>
      </c>
      <c r="C75" s="6">
        <v>1</v>
      </c>
      <c r="D75" s="6">
        <v>90.025343387253201</v>
      </c>
      <c r="E75" s="6">
        <v>112.52602104768661</v>
      </c>
      <c r="F75" s="6">
        <v>97.814848858041643</v>
      </c>
      <c r="G75" s="3">
        <v>136.5</v>
      </c>
      <c r="H75" s="11">
        <v>184.03958443925814</v>
      </c>
      <c r="I75" s="11">
        <v>49.818205013714348</v>
      </c>
      <c r="J75" s="11">
        <v>66.756658646424711</v>
      </c>
      <c r="K75" s="2"/>
      <c r="L75" s="2"/>
      <c r="M75" s="2"/>
      <c r="N75" s="2"/>
      <c r="O75" s="2"/>
    </row>
    <row r="76" spans="2:71" x14ac:dyDescent="0.3">
      <c r="B76" s="6">
        <v>2012</v>
      </c>
      <c r="C76" s="6">
        <v>2</v>
      </c>
      <c r="D76" s="6">
        <v>89.574794280529389</v>
      </c>
      <c r="E76" s="6">
        <v>114.0241965220487</v>
      </c>
      <c r="F76" s="6">
        <v>98.124894012726827</v>
      </c>
      <c r="G76" s="3">
        <v>132</v>
      </c>
      <c r="H76" s="11">
        <v>170.74668799609495</v>
      </c>
      <c r="I76" s="11">
        <v>51.862121116642513</v>
      </c>
      <c r="J76" s="11">
        <v>71.981144760224339</v>
      </c>
      <c r="K76" s="2"/>
      <c r="L76" s="2"/>
      <c r="M76" s="2"/>
      <c r="N76" s="2"/>
      <c r="O76" s="2"/>
    </row>
    <row r="77" spans="2:71" x14ac:dyDescent="0.3">
      <c r="B77" s="6">
        <v>2012</v>
      </c>
      <c r="C77" s="6">
        <v>3</v>
      </c>
      <c r="D77" s="6">
        <v>89.527862081912318</v>
      </c>
      <c r="E77" s="6">
        <v>106.66563912028637</v>
      </c>
      <c r="F77" s="6">
        <v>97.614082742226586</v>
      </c>
      <c r="G77" s="3">
        <v>145.05000000000001</v>
      </c>
      <c r="H77" s="11">
        <v>201.62943125102987</v>
      </c>
      <c r="I77" s="11">
        <v>56.298248917341368</v>
      </c>
      <c r="J77" s="11">
        <v>87.659617209565042</v>
      </c>
      <c r="K77" s="2"/>
      <c r="L77" s="2"/>
      <c r="M77" s="2"/>
      <c r="N77" s="2"/>
      <c r="O77" s="2"/>
    </row>
    <row r="78" spans="2:71" x14ac:dyDescent="0.3">
      <c r="B78" s="6">
        <v>2012</v>
      </c>
      <c r="C78" s="6">
        <v>4</v>
      </c>
      <c r="D78" s="6">
        <v>88.94590281906072</v>
      </c>
      <c r="E78" s="6">
        <v>109.54667649758549</v>
      </c>
      <c r="F78" s="6">
        <v>98.311709612941442</v>
      </c>
      <c r="G78" s="3">
        <v>121.58</v>
      </c>
      <c r="H78" s="11">
        <v>185.81899205383218</v>
      </c>
      <c r="I78" s="11">
        <v>49.742284046450969</v>
      </c>
      <c r="J78" s="11">
        <v>77.086062733652099</v>
      </c>
      <c r="K78" s="2"/>
      <c r="L78" s="2"/>
      <c r="M78" s="2"/>
      <c r="N78" s="2"/>
      <c r="O78" s="2"/>
    </row>
    <row r="79" spans="2:71" x14ac:dyDescent="0.3">
      <c r="B79" s="6">
        <v>2012</v>
      </c>
      <c r="C79" s="6">
        <v>5</v>
      </c>
      <c r="D79" s="6">
        <v>89.321360407997233</v>
      </c>
      <c r="E79" s="6">
        <v>108.96048994478357</v>
      </c>
      <c r="F79" s="6">
        <v>98.522483707339433</v>
      </c>
      <c r="G79" s="3">
        <v>109.46</v>
      </c>
      <c r="H79" s="11">
        <v>164.39544298309787</v>
      </c>
      <c r="I79" s="11">
        <v>53.07419173986171</v>
      </c>
      <c r="J79" s="11">
        <v>81.832636192611972</v>
      </c>
      <c r="K79" s="2"/>
      <c r="L79" s="2"/>
      <c r="M79" s="2"/>
      <c r="N79" s="2"/>
      <c r="O79" s="2"/>
    </row>
    <row r="80" spans="2:71" x14ac:dyDescent="0.3">
      <c r="B80" s="6">
        <v>2012</v>
      </c>
      <c r="C80" s="6">
        <v>6</v>
      </c>
      <c r="D80" s="6">
        <v>90.053502706423444</v>
      </c>
      <c r="E80" s="6">
        <v>112.39003742634928</v>
      </c>
      <c r="F80" s="6">
        <v>98.539972397186361</v>
      </c>
      <c r="G80" s="3">
        <v>107.09</v>
      </c>
      <c r="H80" s="11">
        <v>163.81953082081878</v>
      </c>
      <c r="I80" s="11">
        <v>49.3125</v>
      </c>
      <c r="J80" s="11">
        <v>80.744123606250014</v>
      </c>
      <c r="K80" s="2"/>
      <c r="L80" s="2"/>
      <c r="M80" s="2"/>
      <c r="N80" s="2"/>
      <c r="O80" s="2"/>
    </row>
    <row r="81" spans="2:15" x14ac:dyDescent="0.3">
      <c r="B81" s="6">
        <v>2012</v>
      </c>
      <c r="C81" s="6">
        <v>7</v>
      </c>
      <c r="D81" s="6">
        <v>90.532211132317499</v>
      </c>
      <c r="E81" s="6">
        <v>111.97678086622527</v>
      </c>
      <c r="F81" s="6">
        <v>98.736694885291143</v>
      </c>
      <c r="G81" s="3">
        <v>139.49</v>
      </c>
      <c r="H81" s="11">
        <v>192.51374056639258</v>
      </c>
      <c r="I81" s="11">
        <v>50.430120932552057</v>
      </c>
      <c r="J81" s="11">
        <v>67.386870963720241</v>
      </c>
      <c r="K81" s="2"/>
      <c r="L81" s="2"/>
      <c r="M81" s="2"/>
      <c r="N81" s="2"/>
      <c r="O81" s="2"/>
    </row>
    <row r="82" spans="2:15" x14ac:dyDescent="0.3">
      <c r="B82" s="6">
        <v>2012</v>
      </c>
      <c r="C82" s="6">
        <v>8</v>
      </c>
      <c r="D82" s="6">
        <v>91.330058508807596</v>
      </c>
      <c r="E82" s="6">
        <v>108.90823408128185</v>
      </c>
      <c r="F82" s="6">
        <v>98.334353928118972</v>
      </c>
      <c r="G82" s="3">
        <v>135.34</v>
      </c>
      <c r="H82" s="11">
        <v>178.82178262371846</v>
      </c>
      <c r="I82" s="11">
        <v>51.237408282551925</v>
      </c>
      <c r="J82" s="11">
        <v>75.722055726899654</v>
      </c>
      <c r="K82" s="2"/>
      <c r="L82" s="2"/>
      <c r="M82" s="2"/>
      <c r="N82" s="2"/>
      <c r="O82" s="2"/>
    </row>
    <row r="83" spans="2:15" x14ac:dyDescent="0.3">
      <c r="B83" s="6">
        <v>2012</v>
      </c>
      <c r="C83" s="6">
        <v>9</v>
      </c>
      <c r="D83" s="6">
        <v>91.470855104658796</v>
      </c>
      <c r="E83" s="6">
        <v>107.12606552497741</v>
      </c>
      <c r="F83" s="6">
        <v>98.282090039963691</v>
      </c>
      <c r="G83" s="3">
        <v>122.02</v>
      </c>
      <c r="H83" s="11">
        <v>170.3059521891945</v>
      </c>
      <c r="I83" s="11">
        <v>51.210773412404251</v>
      </c>
      <c r="J83" s="11">
        <v>68.268435464541639</v>
      </c>
      <c r="K83" s="2"/>
      <c r="L83" s="2"/>
      <c r="M83" s="2"/>
      <c r="N83" s="2"/>
      <c r="O83" s="2"/>
    </row>
    <row r="84" spans="2:15" x14ac:dyDescent="0.3">
      <c r="B84" s="6">
        <v>2012</v>
      </c>
      <c r="C84" s="6">
        <v>10</v>
      </c>
      <c r="D84" s="6">
        <v>91.461468664935381</v>
      </c>
      <c r="E84" s="6">
        <v>103.9607082965085</v>
      </c>
      <c r="F84" s="6">
        <v>98.594864643353304</v>
      </c>
      <c r="G84" s="3">
        <v>131.85</v>
      </c>
      <c r="H84" s="11">
        <v>185.53781357370013</v>
      </c>
      <c r="I84" s="11">
        <v>53.666933054650521</v>
      </c>
      <c r="J84" s="11">
        <v>83.60053044199914</v>
      </c>
      <c r="K84" s="2"/>
      <c r="L84" s="2"/>
      <c r="M84" s="2"/>
      <c r="N84" s="2"/>
      <c r="O84" s="2"/>
    </row>
    <row r="85" spans="2:15" x14ac:dyDescent="0.3">
      <c r="B85" s="6">
        <v>2012</v>
      </c>
      <c r="C85" s="6">
        <v>11</v>
      </c>
      <c r="D85" s="6">
        <v>90.860736522636955</v>
      </c>
      <c r="E85" s="6">
        <v>107.87793208222669</v>
      </c>
      <c r="F85" s="6">
        <v>98.976279827124827</v>
      </c>
      <c r="G85" s="3">
        <v>142.69</v>
      </c>
      <c r="H85" s="11">
        <v>179.81100298793217</v>
      </c>
      <c r="I85" s="11">
        <v>50.41709797235584</v>
      </c>
      <c r="J85" s="11">
        <v>64.085517505936807</v>
      </c>
      <c r="K85" s="2"/>
      <c r="L85" s="2"/>
      <c r="M85" s="2"/>
      <c r="N85" s="2"/>
      <c r="O85" s="2"/>
    </row>
    <row r="86" spans="2:15" x14ac:dyDescent="0.3">
      <c r="B86" s="6">
        <v>2012</v>
      </c>
      <c r="C86" s="6">
        <v>12</v>
      </c>
      <c r="D86" s="6">
        <v>89.743750195550817</v>
      </c>
      <c r="E86" s="6">
        <v>113.88845482096808</v>
      </c>
      <c r="F86" s="6">
        <v>99.259333766843937</v>
      </c>
      <c r="G86" s="3">
        <v>149.62</v>
      </c>
      <c r="H86" s="11">
        <v>158.39919855388723</v>
      </c>
      <c r="I86" s="11">
        <v>62.061942131432332</v>
      </c>
      <c r="J86" s="11">
        <v>54.261979955670036</v>
      </c>
      <c r="K86" s="2"/>
      <c r="L86" s="2"/>
      <c r="M86" s="2"/>
      <c r="N86" s="2"/>
      <c r="O86" s="2"/>
    </row>
    <row r="87" spans="2:15" x14ac:dyDescent="0.3">
      <c r="B87" s="6">
        <v>2013</v>
      </c>
      <c r="C87" s="6">
        <v>1</v>
      </c>
      <c r="D87" s="6">
        <v>89.443384124401604</v>
      </c>
      <c r="E87" s="6">
        <v>104.78851963414681</v>
      </c>
      <c r="F87" s="6">
        <v>99.24437234431592</v>
      </c>
      <c r="G87" s="3">
        <v>145.31</v>
      </c>
      <c r="H87" s="11">
        <v>173.68443348376829</v>
      </c>
      <c r="I87" s="11">
        <v>49.375407021490744</v>
      </c>
      <c r="J87" s="11">
        <v>60.98797972884968</v>
      </c>
      <c r="K87" s="2"/>
      <c r="L87" s="2"/>
      <c r="M87" s="2"/>
      <c r="N87" s="2"/>
      <c r="O87" s="2"/>
    </row>
    <row r="88" spans="2:15" x14ac:dyDescent="0.3">
      <c r="B88" s="6">
        <v>2013</v>
      </c>
      <c r="C88" s="6">
        <v>2</v>
      </c>
      <c r="D88" s="6">
        <v>89.865773911955174</v>
      </c>
      <c r="E88" s="6">
        <v>100.86376748353526</v>
      </c>
      <c r="F88" s="6">
        <v>99.719296418887495</v>
      </c>
      <c r="G88" s="3">
        <v>140.25</v>
      </c>
      <c r="H88" s="11">
        <v>152.09560787945443</v>
      </c>
      <c r="I88" s="11">
        <v>49.255575825339847</v>
      </c>
      <c r="J88" s="11">
        <v>57.097918166303771</v>
      </c>
      <c r="K88" s="2"/>
      <c r="L88" s="2"/>
      <c r="M88" s="2"/>
      <c r="N88" s="2"/>
      <c r="O88" s="2"/>
    </row>
    <row r="89" spans="2:15" x14ac:dyDescent="0.3">
      <c r="B89" s="6">
        <v>2013</v>
      </c>
      <c r="C89" s="6">
        <v>3</v>
      </c>
      <c r="D89" s="6">
        <v>89.687431557210331</v>
      </c>
      <c r="E89" s="6">
        <v>102.05076654614567</v>
      </c>
      <c r="F89" s="6">
        <v>100.12729845485404</v>
      </c>
      <c r="G89" s="3">
        <v>137.05000000000001</v>
      </c>
      <c r="H89" s="11">
        <v>158.57765557219091</v>
      </c>
      <c r="I89" s="11">
        <v>53.008932769158449</v>
      </c>
      <c r="J89" s="11">
        <v>74.718510108133529</v>
      </c>
      <c r="K89" s="2"/>
      <c r="L89" s="2"/>
      <c r="M89" s="2"/>
      <c r="N89" s="2"/>
      <c r="O89" s="2"/>
    </row>
    <row r="90" spans="2:15" x14ac:dyDescent="0.3">
      <c r="B90" s="6">
        <v>2013</v>
      </c>
      <c r="C90" s="6">
        <v>4</v>
      </c>
      <c r="D90" s="6">
        <v>88.94590281906072</v>
      </c>
      <c r="E90" s="6">
        <v>99.044668454076401</v>
      </c>
      <c r="F90" s="6">
        <v>100.0236804947783</v>
      </c>
      <c r="G90" s="3">
        <v>145.88999999999999</v>
      </c>
      <c r="H90" s="11">
        <v>171.89432403963266</v>
      </c>
      <c r="I90" s="11">
        <v>52.966596589581869</v>
      </c>
      <c r="J90" s="11">
        <v>77.564980325858429</v>
      </c>
      <c r="K90" s="2"/>
      <c r="L90" s="2"/>
      <c r="M90" s="2"/>
      <c r="N90" s="2"/>
      <c r="O90" s="2"/>
    </row>
    <row r="91" spans="2:15" x14ac:dyDescent="0.3">
      <c r="B91" s="6">
        <v>2013</v>
      </c>
      <c r="C91" s="6">
        <v>5</v>
      </c>
      <c r="D91" s="6">
        <v>88.561058790400779</v>
      </c>
      <c r="E91" s="6">
        <v>99.705679364765203</v>
      </c>
      <c r="F91" s="6">
        <v>100.11850356458422</v>
      </c>
      <c r="G91" s="3">
        <v>128.72999999999999</v>
      </c>
      <c r="H91" s="11">
        <v>158.24030871666184</v>
      </c>
      <c r="I91" s="11">
        <v>53.602405458540538</v>
      </c>
      <c r="J91" s="11">
        <v>71.253900844223423</v>
      </c>
      <c r="K91" s="2"/>
      <c r="L91" s="2"/>
      <c r="M91" s="2"/>
      <c r="N91" s="2"/>
      <c r="O91" s="2"/>
    </row>
    <row r="92" spans="2:15" x14ac:dyDescent="0.3">
      <c r="B92" s="6">
        <v>2013</v>
      </c>
      <c r="C92" s="6">
        <v>6</v>
      </c>
      <c r="D92" s="6">
        <v>89.133631613528976</v>
      </c>
      <c r="E92" s="6">
        <v>101.3719000139244</v>
      </c>
      <c r="F92" s="6">
        <v>100.30430825787126</v>
      </c>
      <c r="G92" s="3">
        <v>111.52</v>
      </c>
      <c r="H92" s="11">
        <v>160.85889234050333</v>
      </c>
      <c r="I92" s="11">
        <v>46.695526695526702</v>
      </c>
      <c r="J92" s="11">
        <v>64.971985079365069</v>
      </c>
      <c r="K92" s="2"/>
      <c r="L92" s="2"/>
      <c r="M92" s="2"/>
      <c r="N92" s="2"/>
      <c r="O92" s="2"/>
    </row>
    <row r="93" spans="2:15" x14ac:dyDescent="0.3">
      <c r="B93" s="6">
        <v>2013</v>
      </c>
      <c r="C93" s="6">
        <v>7</v>
      </c>
      <c r="D93" s="6">
        <v>90.109821344763915</v>
      </c>
      <c r="E93" s="6">
        <v>98.32237149941156</v>
      </c>
      <c r="F93" s="6">
        <v>99.977380957495683</v>
      </c>
      <c r="G93" s="3">
        <v>146.78</v>
      </c>
      <c r="H93" s="11">
        <v>175.45061183918699</v>
      </c>
      <c r="I93" s="11">
        <v>50.144759698899819</v>
      </c>
      <c r="J93" s="11">
        <v>64.39138592935727</v>
      </c>
      <c r="K93" s="2"/>
      <c r="L93" s="2"/>
      <c r="M93" s="2"/>
      <c r="N93" s="2"/>
      <c r="O93" s="2"/>
    </row>
    <row r="94" spans="2:15" x14ac:dyDescent="0.3">
      <c r="B94" s="6">
        <v>2013</v>
      </c>
      <c r="C94" s="6">
        <v>8</v>
      </c>
      <c r="D94" s="6">
        <v>90.241231500891701</v>
      </c>
      <c r="E94" s="6">
        <v>99.433638531141469</v>
      </c>
      <c r="F94" s="6">
        <v>100.57482695168852</v>
      </c>
      <c r="G94" s="3">
        <v>145.51</v>
      </c>
      <c r="H94" s="11">
        <v>192.28587567194484</v>
      </c>
      <c r="I94" s="11">
        <v>51.039806440463153</v>
      </c>
      <c r="J94" s="11">
        <v>60.458063569330022</v>
      </c>
      <c r="K94" s="2"/>
      <c r="L94" s="2"/>
      <c r="M94" s="2"/>
      <c r="N94" s="2"/>
      <c r="O94" s="2"/>
    </row>
    <row r="95" spans="2:15" x14ac:dyDescent="0.3">
      <c r="B95" s="6">
        <v>2013</v>
      </c>
      <c r="C95" s="6">
        <v>9</v>
      </c>
      <c r="D95" s="6">
        <v>90.569756891211142</v>
      </c>
      <c r="E95" s="6">
        <v>101.62132978810006</v>
      </c>
      <c r="F95" s="6">
        <v>101.11192180230555</v>
      </c>
      <c r="G95" s="3">
        <v>133.30000000000001</v>
      </c>
      <c r="H95" s="11">
        <v>171.528583772849</v>
      </c>
      <c r="I95" s="11">
        <v>52.07733916446081</v>
      </c>
      <c r="J95" s="11">
        <v>59.436466457590065</v>
      </c>
      <c r="K95" s="2"/>
      <c r="L95" s="2"/>
      <c r="M95" s="2"/>
      <c r="N95" s="2"/>
      <c r="O95" s="2"/>
    </row>
    <row r="96" spans="2:15" x14ac:dyDescent="0.3">
      <c r="B96" s="6">
        <v>2013</v>
      </c>
      <c r="C96" s="6">
        <v>10</v>
      </c>
      <c r="D96" s="6">
        <v>91.104783955445683</v>
      </c>
      <c r="E96" s="6">
        <v>102.58452285300186</v>
      </c>
      <c r="F96" s="6">
        <v>100.99334241970178</v>
      </c>
      <c r="G96" s="3">
        <v>138.49</v>
      </c>
      <c r="H96" s="11">
        <v>202.94119519592013</v>
      </c>
      <c r="I96" s="11">
        <v>51.962251122108412</v>
      </c>
      <c r="J96" s="11">
        <v>55.0302747209115</v>
      </c>
      <c r="K96" s="2"/>
      <c r="L96" s="2"/>
      <c r="M96" s="2"/>
      <c r="N96" s="2"/>
      <c r="O96" s="2"/>
    </row>
    <row r="97" spans="2:15" x14ac:dyDescent="0.3">
      <c r="B97" s="6">
        <v>2013</v>
      </c>
      <c r="C97" s="6">
        <v>11</v>
      </c>
      <c r="D97" s="6">
        <v>91.095397515722269</v>
      </c>
      <c r="E97" s="6">
        <v>103.85728933597333</v>
      </c>
      <c r="F97" s="6">
        <v>101.25061823276791</v>
      </c>
      <c r="G97" s="3">
        <v>142.47</v>
      </c>
      <c r="H97" s="11">
        <v>185.50413883760152</v>
      </c>
      <c r="I97" s="11">
        <v>51.039697542533077</v>
      </c>
      <c r="J97" s="11">
        <v>46.419364495617813</v>
      </c>
      <c r="K97" s="2"/>
      <c r="L97" s="2"/>
      <c r="M97" s="2"/>
      <c r="N97" s="2"/>
      <c r="O97" s="2"/>
    </row>
    <row r="98" spans="2:15" x14ac:dyDescent="0.3">
      <c r="B98" s="6">
        <v>2013</v>
      </c>
      <c r="C98" s="6">
        <v>12</v>
      </c>
      <c r="D98" s="6">
        <v>90.447733174806785</v>
      </c>
      <c r="E98" s="6">
        <v>100.76352795264512</v>
      </c>
      <c r="F98" s="6">
        <v>101.46877194773714</v>
      </c>
      <c r="G98" s="3">
        <v>160.16</v>
      </c>
      <c r="H98" s="11">
        <v>152.1322976534569</v>
      </c>
      <c r="I98" s="11">
        <v>62.925170068027214</v>
      </c>
      <c r="J98" s="11">
        <v>46.030183973922902</v>
      </c>
      <c r="K98" s="2"/>
      <c r="L98" s="2"/>
      <c r="M98" s="2"/>
      <c r="N98" s="2"/>
      <c r="O98" s="2"/>
    </row>
    <row r="99" spans="2:15" x14ac:dyDescent="0.3">
      <c r="B99" s="6">
        <v>2014</v>
      </c>
      <c r="C99" s="6">
        <v>1</v>
      </c>
      <c r="D99" s="6">
        <v>90.607302650104799</v>
      </c>
      <c r="E99" s="6">
        <v>100.27637477950388</v>
      </c>
      <c r="F99" s="6">
        <v>101.08048259685818</v>
      </c>
      <c r="G99" s="3">
        <v>152.13999999999999</v>
      </c>
      <c r="H99" s="11">
        <v>195.37156796488065</v>
      </c>
      <c r="I99" s="11">
        <v>48.176497073390365</v>
      </c>
      <c r="J99" s="11">
        <v>49.455230656235926</v>
      </c>
      <c r="K99" s="2"/>
      <c r="L99" s="2"/>
      <c r="M99" s="2"/>
      <c r="N99" s="2"/>
      <c r="O99" s="2"/>
    </row>
    <row r="100" spans="2:15" x14ac:dyDescent="0.3">
      <c r="B100" s="6">
        <v>2014</v>
      </c>
      <c r="C100" s="6">
        <v>2</v>
      </c>
      <c r="D100" s="6">
        <v>90.673007728168685</v>
      </c>
      <c r="E100" s="6">
        <v>96.685865193091232</v>
      </c>
      <c r="F100" s="6">
        <v>101.84594132241286</v>
      </c>
      <c r="G100" s="3">
        <v>156.68</v>
      </c>
      <c r="H100" s="11">
        <v>165.02492736777367</v>
      </c>
      <c r="I100" s="11">
        <v>50.31868500503186</v>
      </c>
      <c r="J100" s="11">
        <v>59.184376087442693</v>
      </c>
      <c r="K100" s="2"/>
      <c r="L100" s="2"/>
      <c r="M100" s="2"/>
      <c r="N100" s="2"/>
      <c r="O100" s="2"/>
    </row>
    <row r="101" spans="2:15" x14ac:dyDescent="0.3">
      <c r="B101" s="6">
        <v>2014</v>
      </c>
      <c r="C101" s="6">
        <v>3</v>
      </c>
      <c r="D101" s="6">
        <v>91.151716154062754</v>
      </c>
      <c r="E101" s="6">
        <v>98.029318380897521</v>
      </c>
      <c r="F101" s="6">
        <v>102.85320898504187</v>
      </c>
      <c r="G101" s="3">
        <v>160.22999999999999</v>
      </c>
      <c r="H101" s="11">
        <v>190.84342534108703</v>
      </c>
      <c r="I101" s="11">
        <v>56.81055692238872</v>
      </c>
      <c r="J101" s="11">
        <v>76.446982347349589</v>
      </c>
      <c r="K101" s="2"/>
      <c r="L101" s="2"/>
      <c r="M101" s="2"/>
      <c r="N101" s="2"/>
      <c r="O101" s="2"/>
    </row>
    <row r="102" spans="2:15" x14ac:dyDescent="0.3">
      <c r="B102" s="6">
        <v>2014</v>
      </c>
      <c r="C102" s="6">
        <v>4</v>
      </c>
      <c r="D102" s="6">
        <v>90.917055160977426</v>
      </c>
      <c r="E102" s="6">
        <v>98.091354496977729</v>
      </c>
      <c r="F102" s="6">
        <v>102.93792298557209</v>
      </c>
      <c r="G102" s="3">
        <v>145.66999999999999</v>
      </c>
      <c r="H102" s="11">
        <v>165.82722369871402</v>
      </c>
      <c r="I102" s="11">
        <v>50.715359349774538</v>
      </c>
      <c r="J102" s="11">
        <v>66.993788693425373</v>
      </c>
      <c r="K102" s="2"/>
      <c r="L102" s="2"/>
      <c r="M102" s="2"/>
      <c r="N102" s="2"/>
      <c r="O102" s="2"/>
    </row>
    <row r="103" spans="2:15" x14ac:dyDescent="0.3">
      <c r="B103" s="6">
        <v>2014</v>
      </c>
      <c r="C103" s="6">
        <v>5</v>
      </c>
      <c r="D103" s="6">
        <v>90.72932636650917</v>
      </c>
      <c r="E103" s="6">
        <v>97.906689431314305</v>
      </c>
      <c r="F103" s="6">
        <v>103.35431554903747</v>
      </c>
      <c r="G103" s="3">
        <v>136.74</v>
      </c>
      <c r="H103" s="11">
        <v>169.11960573571588</v>
      </c>
      <c r="I103" s="11">
        <v>54.323847341716302</v>
      </c>
      <c r="J103" s="11">
        <v>78.528169793734847</v>
      </c>
      <c r="K103" s="2"/>
      <c r="L103" s="2"/>
      <c r="M103" s="2"/>
      <c r="N103" s="2"/>
      <c r="O103" s="2"/>
    </row>
    <row r="104" spans="2:15" x14ac:dyDescent="0.3">
      <c r="B104" s="6">
        <v>2014</v>
      </c>
      <c r="C104" s="6">
        <v>6</v>
      </c>
      <c r="D104" s="6">
        <v>90.278777259785358</v>
      </c>
      <c r="E104" s="6">
        <v>97.828783731939424</v>
      </c>
      <c r="F104" s="6">
        <v>103.69620427194106</v>
      </c>
      <c r="G104" s="3">
        <v>127.66</v>
      </c>
      <c r="H104" s="11">
        <v>174.64435364101448</v>
      </c>
      <c r="I104" s="11">
        <v>48.111461848263851</v>
      </c>
      <c r="J104" s="11">
        <v>77.400352236856435</v>
      </c>
      <c r="K104" s="2"/>
      <c r="L104" s="2"/>
      <c r="M104" s="2"/>
      <c r="N104" s="2"/>
      <c r="O104" s="2"/>
    </row>
    <row r="105" spans="2:15" x14ac:dyDescent="0.3">
      <c r="B105" s="6">
        <v>2014</v>
      </c>
      <c r="C105" s="6">
        <v>7</v>
      </c>
      <c r="D105" s="6">
        <v>90.3820280967429</v>
      </c>
      <c r="E105" s="6">
        <v>95.825171334032916</v>
      </c>
      <c r="F105" s="6">
        <v>103.91658198215093</v>
      </c>
      <c r="G105" s="3">
        <v>166.89</v>
      </c>
      <c r="H105" s="11">
        <v>181.93353091293048</v>
      </c>
      <c r="I105" s="11">
        <v>50.140784058912715</v>
      </c>
      <c r="J105" s="11">
        <v>70.493469352393319</v>
      </c>
      <c r="K105" s="2"/>
      <c r="L105" s="2"/>
      <c r="M105" s="2"/>
      <c r="N105" s="2"/>
      <c r="O105" s="2"/>
    </row>
    <row r="106" spans="2:15" x14ac:dyDescent="0.3">
      <c r="B106" s="6">
        <v>2014</v>
      </c>
      <c r="C106" s="6">
        <v>8</v>
      </c>
      <c r="D106" s="6">
        <v>90.335095898125829</v>
      </c>
      <c r="E106" s="6">
        <v>98.167535896250655</v>
      </c>
      <c r="F106" s="6">
        <v>103.75160197157179</v>
      </c>
      <c r="G106" s="3">
        <v>146.57</v>
      </c>
      <c r="H106" s="11">
        <v>185.20505496842446</v>
      </c>
      <c r="I106" s="11">
        <v>49.765207534948992</v>
      </c>
      <c r="J106" s="11">
        <v>57.116432115291197</v>
      </c>
      <c r="K106" s="2"/>
      <c r="L106" s="2"/>
      <c r="M106" s="2"/>
      <c r="N106" s="2"/>
      <c r="O106" s="2"/>
    </row>
    <row r="107" spans="2:15" x14ac:dyDescent="0.3">
      <c r="B107" s="6">
        <v>2014</v>
      </c>
      <c r="C107" s="6">
        <v>9</v>
      </c>
      <c r="D107" s="6">
        <v>90.635461969275042</v>
      </c>
      <c r="E107" s="6">
        <v>104.57446172324916</v>
      </c>
      <c r="F107" s="6">
        <v>104.06447766565417</v>
      </c>
      <c r="G107" s="3">
        <v>145.27000000000001</v>
      </c>
      <c r="H107" s="11">
        <v>175.5118530285838</v>
      </c>
      <c r="I107" s="11">
        <v>51.169827632787602</v>
      </c>
      <c r="J107" s="11">
        <v>61.047553547306421</v>
      </c>
      <c r="K107" s="2"/>
      <c r="L107" s="2"/>
      <c r="M107" s="2"/>
      <c r="N107" s="2"/>
      <c r="O107" s="2"/>
    </row>
    <row r="108" spans="2:15" x14ac:dyDescent="0.3">
      <c r="B108" s="6">
        <v>2014</v>
      </c>
      <c r="C108" s="6">
        <v>10</v>
      </c>
      <c r="D108" s="6">
        <v>90.879509402083769</v>
      </c>
      <c r="E108" s="6">
        <v>106.58332315738286</v>
      </c>
      <c r="F108" s="6">
        <v>104.084089260049</v>
      </c>
      <c r="G108" s="3">
        <v>150.30000000000001</v>
      </c>
      <c r="H108" s="11">
        <v>185.16802621500622</v>
      </c>
      <c r="I108" s="11">
        <v>50.434219752953233</v>
      </c>
      <c r="J108" s="11">
        <v>51.562718830573395</v>
      </c>
      <c r="K108" s="2"/>
      <c r="L108" s="2"/>
      <c r="M108" s="2"/>
      <c r="N108" s="2"/>
      <c r="O108" s="2"/>
    </row>
    <row r="109" spans="2:15" x14ac:dyDescent="0.3">
      <c r="B109" s="6">
        <v>2014</v>
      </c>
      <c r="C109" s="6">
        <v>11</v>
      </c>
      <c r="D109" s="6">
        <v>89.724977316103988</v>
      </c>
      <c r="E109" s="6">
        <v>108.7588424816413</v>
      </c>
      <c r="F109" s="6">
        <v>104.72773370083172</v>
      </c>
      <c r="G109" s="3">
        <v>149.04</v>
      </c>
      <c r="H109" s="11">
        <v>167.66094498297508</v>
      </c>
      <c r="I109" s="11">
        <v>48.414556288572037</v>
      </c>
      <c r="J109" s="11">
        <v>39.82210391572675</v>
      </c>
      <c r="K109" s="2"/>
      <c r="L109" s="2"/>
      <c r="M109" s="2"/>
      <c r="N109" s="2"/>
      <c r="O109" s="2"/>
    </row>
    <row r="110" spans="2:15" x14ac:dyDescent="0.3">
      <c r="B110" s="6">
        <v>2014</v>
      </c>
      <c r="C110" s="6">
        <v>12</v>
      </c>
      <c r="D110" s="6">
        <v>89.687431557210331</v>
      </c>
      <c r="E110" s="6">
        <v>109.61194492233319</v>
      </c>
      <c r="F110" s="6">
        <v>104.74522239067865</v>
      </c>
      <c r="G110" s="3">
        <v>165.07</v>
      </c>
      <c r="H110" s="11">
        <v>163.36368319757227</v>
      </c>
      <c r="I110" s="11">
        <v>62.077410424319858</v>
      </c>
      <c r="J110" s="11">
        <v>47.086199584730863</v>
      </c>
      <c r="K110" s="2"/>
      <c r="L110" s="2"/>
      <c r="M110" s="2"/>
      <c r="N110" s="2"/>
      <c r="O110" s="2"/>
    </row>
    <row r="111" spans="2:15" x14ac:dyDescent="0.3">
      <c r="B111" s="6">
        <v>2015</v>
      </c>
      <c r="C111" s="6">
        <v>1</v>
      </c>
      <c r="D111" s="6">
        <v>89.931478990019073</v>
      </c>
      <c r="E111" s="6">
        <v>128.67108484286118</v>
      </c>
      <c r="F111" s="6">
        <v>103.91344817067547</v>
      </c>
      <c r="G111" s="3">
        <v>156.03</v>
      </c>
      <c r="H111" s="11">
        <v>161.81915913748929</v>
      </c>
      <c r="I111" s="11">
        <v>47.448761742100771</v>
      </c>
      <c r="J111" s="11">
        <v>48.097367442356962</v>
      </c>
      <c r="K111" s="2"/>
      <c r="L111" s="2"/>
      <c r="M111" s="2"/>
      <c r="N111" s="2"/>
      <c r="O111" s="2"/>
    </row>
    <row r="112" spans="2:15" x14ac:dyDescent="0.3">
      <c r="B112" s="6">
        <v>2015</v>
      </c>
      <c r="C112" s="6">
        <v>2</v>
      </c>
      <c r="D112" s="6">
        <v>89.743750195550817</v>
      </c>
      <c r="E112" s="6">
        <v>124.60544597045956</v>
      </c>
      <c r="F112" s="6">
        <v>103.25059649826896</v>
      </c>
      <c r="G112" s="3">
        <v>159.88</v>
      </c>
      <c r="H112" s="11">
        <v>146.60436690689207</v>
      </c>
      <c r="I112" s="11">
        <v>49.864872025859782</v>
      </c>
      <c r="J112" s="11">
        <v>60.276625382862591</v>
      </c>
      <c r="K112" s="2"/>
      <c r="L112" s="2"/>
      <c r="M112" s="2"/>
      <c r="N112" s="2"/>
      <c r="O112" s="2"/>
    </row>
    <row r="113" spans="2:15" x14ac:dyDescent="0.3">
      <c r="B113" s="6">
        <v>2015</v>
      </c>
      <c r="C113" s="6">
        <v>3</v>
      </c>
      <c r="D113" s="6">
        <v>89.912706110572259</v>
      </c>
      <c r="E113" s="6">
        <v>119.70902170159003</v>
      </c>
      <c r="F113" s="6">
        <v>102.89708234569834</v>
      </c>
      <c r="G113" s="3">
        <v>162.15</v>
      </c>
      <c r="H113" s="11">
        <v>173.01031727723816</v>
      </c>
      <c r="I113" s="11">
        <v>56.059966216216218</v>
      </c>
      <c r="J113" s="11">
        <v>76.769686460092899</v>
      </c>
      <c r="K113" s="2"/>
      <c r="L113" s="2"/>
      <c r="M113" s="2"/>
      <c r="N113" s="2"/>
      <c r="O113" s="2"/>
    </row>
    <row r="114" spans="2:15" x14ac:dyDescent="0.3">
      <c r="B114" s="6">
        <v>2015</v>
      </c>
      <c r="C114" s="6">
        <v>4</v>
      </c>
      <c r="D114" s="6">
        <v>90.109821344763915</v>
      </c>
      <c r="E114" s="6">
        <v>115.69725728420683</v>
      </c>
      <c r="F114" s="6">
        <v>102.32955919656152</v>
      </c>
      <c r="G114" s="3">
        <v>134.09</v>
      </c>
      <c r="H114" s="11">
        <v>144.05805720682753</v>
      </c>
      <c r="I114" s="11">
        <v>49.731324412601417</v>
      </c>
      <c r="J114" s="11">
        <v>64.48877083026025</v>
      </c>
      <c r="K114" s="2"/>
      <c r="L114" s="2"/>
      <c r="M114" s="2"/>
      <c r="N114" s="2"/>
      <c r="O114" s="2"/>
    </row>
    <row r="115" spans="2:15" x14ac:dyDescent="0.3">
      <c r="B115" s="6">
        <v>2015</v>
      </c>
      <c r="C115" s="6">
        <v>5</v>
      </c>
      <c r="D115" s="6">
        <v>90.3820280967429</v>
      </c>
      <c r="E115" s="6">
        <v>113.40202264169076</v>
      </c>
      <c r="F115" s="6">
        <v>101.86656382373525</v>
      </c>
      <c r="G115" s="3">
        <v>137.1</v>
      </c>
      <c r="H115" s="11">
        <v>154.20270948162903</v>
      </c>
      <c r="I115" s="11">
        <v>54.981917291262647</v>
      </c>
      <c r="J115" s="11">
        <v>61.477843692017409</v>
      </c>
      <c r="K115" s="2"/>
      <c r="L115" s="2"/>
      <c r="M115" s="2"/>
      <c r="N115" s="2"/>
      <c r="O115" s="2"/>
    </row>
    <row r="116" spans="2:15" x14ac:dyDescent="0.3">
      <c r="B116" s="6">
        <v>2015</v>
      </c>
      <c r="C116" s="6">
        <v>6</v>
      </c>
      <c r="D116" s="6">
        <v>91.095397515722269</v>
      </c>
      <c r="E116" s="6">
        <v>112.2014697638418</v>
      </c>
      <c r="F116" s="6">
        <v>101.55449685519493</v>
      </c>
      <c r="G116" s="3">
        <v>132.69999999999999</v>
      </c>
      <c r="H116" s="11">
        <v>164.42792979660308</v>
      </c>
      <c r="I116" s="11">
        <v>48.804780876494021</v>
      </c>
      <c r="J116" s="11">
        <v>64.547243567833931</v>
      </c>
      <c r="K116" s="2"/>
      <c r="L116" s="2"/>
      <c r="M116" s="2"/>
      <c r="N116" s="2"/>
      <c r="O116" s="2"/>
    </row>
    <row r="117" spans="2:15" x14ac:dyDescent="0.3">
      <c r="B117" s="6">
        <v>2015</v>
      </c>
      <c r="C117" s="6">
        <v>7</v>
      </c>
      <c r="D117" s="6">
        <v>92.118519445574279</v>
      </c>
      <c r="E117" s="6">
        <v>110.1804396461677</v>
      </c>
      <c r="F117" s="6">
        <v>102.19187367302671</v>
      </c>
      <c r="G117" s="3">
        <v>171.17</v>
      </c>
      <c r="H117" s="11">
        <v>178.62693218994588</v>
      </c>
      <c r="I117" s="11">
        <v>51.268582234595783</v>
      </c>
      <c r="J117" s="11">
        <v>57.533611477648783</v>
      </c>
      <c r="K117" s="2"/>
      <c r="L117" s="2"/>
      <c r="M117" s="2"/>
      <c r="N117" s="2"/>
      <c r="O117" s="2"/>
    </row>
    <row r="118" spans="2:15" x14ac:dyDescent="0.3">
      <c r="B118" s="6">
        <v>2015</v>
      </c>
      <c r="C118" s="6">
        <v>8</v>
      </c>
      <c r="D118" s="6">
        <v>92.493977034510806</v>
      </c>
      <c r="E118" s="6">
        <v>119.72554955916948</v>
      </c>
      <c r="F118" s="6">
        <v>102.01718895594293</v>
      </c>
      <c r="G118" s="3">
        <v>155.88</v>
      </c>
      <c r="H118" s="11">
        <v>165.18834077011977</v>
      </c>
      <c r="I118" s="11">
        <v>50.745955032569853</v>
      </c>
      <c r="J118" s="11">
        <v>51.906703404076495</v>
      </c>
      <c r="K118" s="2"/>
      <c r="L118" s="2"/>
      <c r="M118" s="2"/>
      <c r="N118" s="2"/>
      <c r="O118" s="2"/>
    </row>
    <row r="119" spans="2:15" x14ac:dyDescent="0.3">
      <c r="B119" s="6">
        <v>2015</v>
      </c>
      <c r="C119" s="6">
        <v>9</v>
      </c>
      <c r="D119" s="6">
        <v>92.644160070085405</v>
      </c>
      <c r="E119" s="6">
        <v>123.73382038796956</v>
      </c>
      <c r="F119" s="6">
        <v>101.73059684197732</v>
      </c>
      <c r="G119" s="3">
        <v>152.97999999999999</v>
      </c>
      <c r="H119" s="11">
        <v>165.31652989641935</v>
      </c>
      <c r="I119" s="11">
        <v>51.895472948104526</v>
      </c>
      <c r="J119" s="11">
        <v>41.785682938114519</v>
      </c>
      <c r="K119" s="2"/>
      <c r="L119" s="2"/>
      <c r="M119" s="2"/>
      <c r="N119" s="2"/>
      <c r="O119" s="2"/>
    </row>
    <row r="120" spans="2:15" x14ac:dyDescent="0.3">
      <c r="B120" s="6">
        <v>2015</v>
      </c>
      <c r="C120" s="6">
        <v>10</v>
      </c>
      <c r="D120" s="6">
        <v>92.869434623447319</v>
      </c>
      <c r="E120" s="6">
        <v>123.23894766347827</v>
      </c>
      <c r="F120" s="6">
        <v>101.24869750960552</v>
      </c>
      <c r="G120" s="3">
        <v>159.86000000000001</v>
      </c>
      <c r="H120" s="11">
        <v>192.13686003874142</v>
      </c>
      <c r="I120" s="11">
        <v>53.714465211245489</v>
      </c>
      <c r="J120" s="11">
        <v>36.294329302130784</v>
      </c>
      <c r="K120" s="2"/>
      <c r="L120" s="2"/>
      <c r="M120" s="2"/>
      <c r="N120" s="2"/>
      <c r="O120" s="2"/>
    </row>
    <row r="121" spans="2:15" x14ac:dyDescent="0.3">
      <c r="B121" s="6">
        <v>2015</v>
      </c>
      <c r="C121" s="6">
        <v>11</v>
      </c>
      <c r="D121" s="6">
        <v>92.935139701511204</v>
      </c>
      <c r="E121" s="6">
        <v>116.64416105292013</v>
      </c>
      <c r="F121" s="6">
        <v>100.52114779383464</v>
      </c>
      <c r="G121" s="3">
        <v>156.27000000000001</v>
      </c>
      <c r="H121" s="11">
        <v>158.32087697845478</v>
      </c>
      <c r="I121" s="11">
        <v>49.924357034795769</v>
      </c>
      <c r="J121" s="11">
        <v>35.189678960822157</v>
      </c>
      <c r="K121" s="2"/>
      <c r="L121" s="2"/>
      <c r="M121" s="2"/>
      <c r="N121" s="2"/>
      <c r="O121" s="2"/>
    </row>
    <row r="122" spans="2:15" x14ac:dyDescent="0.3">
      <c r="B122" s="6">
        <v>2015</v>
      </c>
      <c r="C122" s="6">
        <v>12</v>
      </c>
      <c r="D122" s="6">
        <v>92.174838083914764</v>
      </c>
      <c r="E122" s="6">
        <v>118.95036471283184</v>
      </c>
      <c r="F122" s="6">
        <v>100.02630885278998</v>
      </c>
      <c r="G122" s="3">
        <v>168.88</v>
      </c>
      <c r="H122" s="11">
        <v>148.55281315871048</v>
      </c>
      <c r="I122" s="11">
        <v>62.306261624302536</v>
      </c>
      <c r="J122" s="11">
        <v>39.887351875387481</v>
      </c>
      <c r="K122" s="2"/>
      <c r="L122" s="2"/>
      <c r="M122" s="2"/>
      <c r="N122" s="2"/>
      <c r="O122" s="2"/>
    </row>
    <row r="123" spans="2:15" x14ac:dyDescent="0.3">
      <c r="B123" s="6">
        <v>2016</v>
      </c>
      <c r="C123" s="6">
        <v>1</v>
      </c>
      <c r="D123" s="6">
        <v>92.888207502894133</v>
      </c>
      <c r="E123" s="6">
        <v>118.45634198384182</v>
      </c>
      <c r="F123" s="6">
        <v>100.52367506115357</v>
      </c>
      <c r="G123" s="3">
        <v>164.3</v>
      </c>
      <c r="H123" s="11">
        <v>151.08094159511739</v>
      </c>
      <c r="I123" s="11">
        <v>47.170787214233997</v>
      </c>
      <c r="J123" s="11">
        <v>40.826260732388533</v>
      </c>
      <c r="K123" s="2"/>
      <c r="L123" s="2"/>
      <c r="M123" s="2"/>
      <c r="N123" s="2"/>
      <c r="O123" s="2"/>
    </row>
    <row r="124" spans="2:15" x14ac:dyDescent="0.3">
      <c r="B124" s="6">
        <v>2016</v>
      </c>
      <c r="C124" s="6">
        <v>2</v>
      </c>
      <c r="D124" s="6">
        <v>92.334407559212778</v>
      </c>
      <c r="E124" s="6">
        <v>125.01189609147407</v>
      </c>
      <c r="F124" s="6">
        <v>100.00214817722109</v>
      </c>
      <c r="G124" s="3">
        <v>171.08</v>
      </c>
      <c r="H124" s="11">
        <v>160.39400809204122</v>
      </c>
      <c r="I124" s="11">
        <v>52.990314149541341</v>
      </c>
      <c r="J124" s="11">
        <v>49.718856101060837</v>
      </c>
      <c r="K124" s="2"/>
      <c r="L124" s="2"/>
      <c r="M124" s="2"/>
      <c r="N124" s="2"/>
      <c r="O124" s="2"/>
    </row>
    <row r="125" spans="2:15" x14ac:dyDescent="0.3">
      <c r="B125" s="6">
        <v>2016</v>
      </c>
      <c r="C125" s="6">
        <v>3</v>
      </c>
      <c r="D125" s="6">
        <v>92.184224523638164</v>
      </c>
      <c r="E125" s="6">
        <v>123.6000397827363</v>
      </c>
      <c r="F125" s="6">
        <v>99.234162184347483</v>
      </c>
      <c r="G125" s="3">
        <v>162.94</v>
      </c>
      <c r="H125" s="11">
        <v>149.77201241087795</v>
      </c>
      <c r="I125" s="11">
        <v>54.848237930332047</v>
      </c>
      <c r="J125" s="11">
        <v>60.98645932470972</v>
      </c>
      <c r="K125" s="2"/>
      <c r="L125" s="2"/>
      <c r="M125" s="2"/>
      <c r="N125" s="2"/>
      <c r="O125" s="2"/>
    </row>
    <row r="126" spans="2:15" x14ac:dyDescent="0.3">
      <c r="B126" s="6">
        <v>2016</v>
      </c>
      <c r="C126" s="6">
        <v>4</v>
      </c>
      <c r="D126" s="6">
        <v>92.522136353681034</v>
      </c>
      <c r="E126" s="6">
        <v>121.131248695146</v>
      </c>
      <c r="F126" s="6">
        <v>99.551586959603924</v>
      </c>
      <c r="G126" s="3">
        <v>157.91</v>
      </c>
      <c r="H126" s="11">
        <v>162.11588582689177</v>
      </c>
      <c r="I126" s="11">
        <v>52.634255492270142</v>
      </c>
      <c r="J126" s="11">
        <v>67.285027339300257</v>
      </c>
      <c r="K126" s="2"/>
      <c r="L126" s="2"/>
      <c r="M126" s="2"/>
      <c r="N126" s="2"/>
      <c r="O126" s="2"/>
    </row>
    <row r="127" spans="2:15" x14ac:dyDescent="0.3">
      <c r="B127" s="6">
        <v>2016</v>
      </c>
      <c r="C127" s="6">
        <v>5</v>
      </c>
      <c r="D127" s="6">
        <v>92.709865148149291</v>
      </c>
      <c r="E127" s="6">
        <v>119.97086228745928</v>
      </c>
      <c r="F127" s="6">
        <v>99.326559077527236</v>
      </c>
      <c r="G127" s="3">
        <v>144.9</v>
      </c>
      <c r="H127" s="11">
        <v>155.32313290351942</v>
      </c>
      <c r="I127" s="11">
        <v>54.30825242718447</v>
      </c>
      <c r="J127" s="11">
        <v>59.913990422734628</v>
      </c>
      <c r="K127" s="2"/>
      <c r="L127" s="2"/>
      <c r="M127" s="2"/>
      <c r="N127" s="2"/>
      <c r="O127" s="2"/>
    </row>
    <row r="128" spans="2:15" x14ac:dyDescent="0.3">
      <c r="B128" s="6">
        <v>2016</v>
      </c>
      <c r="C128" s="6">
        <v>6</v>
      </c>
      <c r="D128" s="6">
        <v>93.423234567128674</v>
      </c>
      <c r="E128" s="6">
        <v>121.00678635375466</v>
      </c>
      <c r="F128" s="6">
        <v>99.808357319206252</v>
      </c>
      <c r="G128" s="3">
        <v>140.36000000000001</v>
      </c>
      <c r="H128" s="11">
        <v>150.45426385908075</v>
      </c>
      <c r="I128" s="11">
        <v>48.339744887629074</v>
      </c>
      <c r="J128" s="11">
        <v>54.841687527839646</v>
      </c>
      <c r="K128" s="2"/>
      <c r="L128" s="2"/>
      <c r="M128" s="2"/>
      <c r="N128" s="2"/>
      <c r="O128" s="2"/>
    </row>
    <row r="129" spans="2:15" x14ac:dyDescent="0.3">
      <c r="B129" s="6">
        <v>2016</v>
      </c>
      <c r="C129" s="6">
        <v>7</v>
      </c>
      <c r="D129" s="6">
        <v>93.695441319107644</v>
      </c>
      <c r="E129" s="6">
        <v>121.0589700386341</v>
      </c>
      <c r="F129" s="6">
        <v>99.923297436870783</v>
      </c>
      <c r="G129" s="3">
        <v>169.41</v>
      </c>
      <c r="H129" s="11">
        <v>154.9485235267407</v>
      </c>
      <c r="I129" s="11">
        <v>49.798183652875885</v>
      </c>
      <c r="J129" s="11">
        <v>54.706625005045417</v>
      </c>
      <c r="K129" s="2"/>
      <c r="L129" s="2"/>
      <c r="M129" s="2"/>
      <c r="N129" s="2"/>
      <c r="O129" s="2"/>
    </row>
    <row r="130" spans="2:15" x14ac:dyDescent="0.3">
      <c r="B130" s="6">
        <v>2016</v>
      </c>
      <c r="C130" s="6">
        <v>8</v>
      </c>
      <c r="D130" s="6">
        <v>94.652858170895769</v>
      </c>
      <c r="E130" s="6">
        <v>125.28114801123844</v>
      </c>
      <c r="F130" s="6">
        <v>99.819679476795031</v>
      </c>
      <c r="G130" s="3">
        <v>164.26</v>
      </c>
      <c r="H130" s="11">
        <v>171.15360208111804</v>
      </c>
      <c r="I130" s="11">
        <v>54.635677755835744</v>
      </c>
      <c r="J130" s="11">
        <v>58.07362862929768</v>
      </c>
      <c r="K130" s="2"/>
      <c r="L130" s="2"/>
      <c r="M130" s="2"/>
      <c r="N130" s="2"/>
      <c r="O130" s="2"/>
    </row>
    <row r="131" spans="2:15" x14ac:dyDescent="0.3">
      <c r="B131" s="6">
        <v>2016</v>
      </c>
      <c r="C131" s="6">
        <v>9</v>
      </c>
      <c r="D131" s="6">
        <v>95.647820781577536</v>
      </c>
      <c r="E131" s="6">
        <v>120.66472033295983</v>
      </c>
      <c r="F131" s="6">
        <v>99.7312251206328</v>
      </c>
      <c r="G131" s="3">
        <v>148.66</v>
      </c>
      <c r="H131" s="11">
        <v>155.82646308090813</v>
      </c>
      <c r="I131" s="11">
        <v>53.989537305094217</v>
      </c>
      <c r="J131" s="11">
        <v>47.261011605464972</v>
      </c>
      <c r="K131" s="2"/>
      <c r="L131" s="2"/>
      <c r="M131" s="2"/>
      <c r="N131" s="2"/>
      <c r="O131" s="2"/>
    </row>
    <row r="132" spans="2:15" x14ac:dyDescent="0.3">
      <c r="B132" s="6">
        <v>2016</v>
      </c>
      <c r="C132" s="6">
        <v>10</v>
      </c>
      <c r="D132" s="6">
        <v>95.948186852726749</v>
      </c>
      <c r="E132" s="6">
        <v>120.00536222315739</v>
      </c>
      <c r="F132" s="6">
        <v>99.800472245171221</v>
      </c>
      <c r="G132" s="3">
        <v>155.43</v>
      </c>
      <c r="H132" s="11">
        <v>165.16851442025316</v>
      </c>
      <c r="I132" s="11">
        <v>54.734177215189874</v>
      </c>
      <c r="J132" s="11">
        <v>39.442808410126581</v>
      </c>
      <c r="K132" s="2"/>
      <c r="L132" s="2"/>
      <c r="M132" s="2"/>
      <c r="N132" s="2"/>
      <c r="O132" s="2"/>
    </row>
    <row r="133" spans="2:15" x14ac:dyDescent="0.3">
      <c r="B133" s="6">
        <v>2016</v>
      </c>
      <c r="C133" s="6">
        <v>11</v>
      </c>
      <c r="D133" s="6">
        <v>96.126529207471592</v>
      </c>
      <c r="E133" s="6">
        <v>118.84581875215699</v>
      </c>
      <c r="F133" s="6">
        <v>99.416934156851838</v>
      </c>
      <c r="G133" s="3">
        <v>167.06</v>
      </c>
      <c r="H133" s="11">
        <v>153.41389496035953</v>
      </c>
      <c r="I133" s="11">
        <v>52.668787557440787</v>
      </c>
      <c r="J133" s="11">
        <v>35.046714826036457</v>
      </c>
      <c r="K133" s="2"/>
      <c r="L133" s="2"/>
      <c r="M133" s="2"/>
      <c r="N133" s="2"/>
      <c r="O133" s="2"/>
    </row>
    <row r="134" spans="2:15" x14ac:dyDescent="0.3">
      <c r="B134" s="6">
        <v>2016</v>
      </c>
      <c r="C134" s="6">
        <v>12</v>
      </c>
      <c r="D134" s="6">
        <v>95.929413973279921</v>
      </c>
      <c r="E134" s="6">
        <v>119.41293437331868</v>
      </c>
      <c r="F134" s="6">
        <v>100.12082865051761</v>
      </c>
      <c r="G134" s="3">
        <v>168.41</v>
      </c>
      <c r="H134" s="11">
        <v>130.13477085462378</v>
      </c>
      <c r="I134" s="11">
        <v>65.173830277527301</v>
      </c>
      <c r="J134" s="11">
        <v>39.970281269411871</v>
      </c>
      <c r="K134" s="2"/>
      <c r="L134" s="2"/>
      <c r="M134" s="2"/>
      <c r="N134" s="2"/>
      <c r="O134" s="2"/>
    </row>
    <row r="135" spans="2:15" x14ac:dyDescent="0.3">
      <c r="B135" s="6">
        <v>2017</v>
      </c>
      <c r="C135" s="6">
        <v>1</v>
      </c>
      <c r="D135" s="6">
        <v>96.164074966365249</v>
      </c>
      <c r="E135" s="6">
        <v>116.04261978645425</v>
      </c>
      <c r="F135" s="6">
        <v>99.893576773200266</v>
      </c>
      <c r="G135" s="3">
        <v>170.37</v>
      </c>
      <c r="H135" s="11">
        <v>157.77470999751057</v>
      </c>
      <c r="I135" s="11">
        <v>50.833955688324615</v>
      </c>
      <c r="J135" s="11">
        <v>49.768431142643763</v>
      </c>
      <c r="K135" s="2"/>
      <c r="L135" s="2"/>
      <c r="M135" s="2"/>
      <c r="N135" s="2"/>
      <c r="O135" s="2"/>
    </row>
    <row r="136" spans="2:15" x14ac:dyDescent="0.3">
      <c r="B136" s="6">
        <v>2017</v>
      </c>
      <c r="C136" s="6">
        <v>2</v>
      </c>
      <c r="D136" s="6">
        <v>96.023278370514049</v>
      </c>
      <c r="E136" s="6">
        <v>125.07569392957336</v>
      </c>
      <c r="F136" s="6">
        <v>99.509229959338811</v>
      </c>
      <c r="G136" s="3">
        <v>174.8</v>
      </c>
      <c r="H136" s="11">
        <v>161.28843070574283</v>
      </c>
      <c r="I136" s="11">
        <v>53.177819511712954</v>
      </c>
      <c r="J136" s="11">
        <v>59.803764777107851</v>
      </c>
      <c r="K136" s="2"/>
      <c r="L136" s="2"/>
      <c r="M136" s="2"/>
      <c r="N136" s="2"/>
      <c r="O136" s="2"/>
    </row>
    <row r="137" spans="2:15" x14ac:dyDescent="0.3">
      <c r="B137" s="6">
        <v>2017</v>
      </c>
      <c r="C137" s="6">
        <v>3</v>
      </c>
      <c r="D137" s="6">
        <v>96.070210569131106</v>
      </c>
      <c r="E137" s="6">
        <v>118.98175603269445</v>
      </c>
      <c r="F137" s="6">
        <v>100.1295224500947</v>
      </c>
      <c r="G137" s="3">
        <v>175.98</v>
      </c>
      <c r="H137" s="11">
        <v>192.37334884490076</v>
      </c>
      <c r="I137" s="11">
        <v>56.076611708954481</v>
      </c>
      <c r="J137" s="11">
        <v>76.532180926053897</v>
      </c>
      <c r="K137" s="2"/>
      <c r="L137" s="2"/>
      <c r="M137" s="2"/>
      <c r="N137" s="2"/>
      <c r="O137" s="2"/>
    </row>
    <row r="138" spans="2:15" x14ac:dyDescent="0.3">
      <c r="B138" s="6">
        <v>2017</v>
      </c>
      <c r="C138" s="6">
        <v>4</v>
      </c>
      <c r="D138" s="6">
        <v>95.995119051343806</v>
      </c>
      <c r="E138" s="6">
        <v>119.56905013971284</v>
      </c>
      <c r="F138" s="6">
        <v>101.13274648501344</v>
      </c>
      <c r="G138" s="3">
        <v>156.1</v>
      </c>
      <c r="H138" s="11">
        <v>140.32536787049793</v>
      </c>
      <c r="I138" s="11">
        <v>53.335957488683327</v>
      </c>
      <c r="J138" s="11">
        <v>68.712697303680386</v>
      </c>
      <c r="K138" s="2"/>
      <c r="L138" s="2"/>
      <c r="M138" s="2"/>
      <c r="N138" s="2"/>
      <c r="O138" s="2"/>
    </row>
    <row r="139" spans="2:15" x14ac:dyDescent="0.3">
      <c r="B139" s="6">
        <v>2017</v>
      </c>
      <c r="C139" s="6">
        <v>5</v>
      </c>
      <c r="D139" s="6">
        <v>96.41750883889739</v>
      </c>
      <c r="E139" s="6">
        <v>118.79683551923341</v>
      </c>
      <c r="F139" s="6">
        <v>101.22008884355535</v>
      </c>
      <c r="G139" s="3">
        <v>154.97</v>
      </c>
      <c r="H139" s="11">
        <v>159.27689699769056</v>
      </c>
      <c r="I139" s="11">
        <v>59.554813031300682</v>
      </c>
      <c r="J139" s="11">
        <v>68.829292938921924</v>
      </c>
      <c r="K139" s="2"/>
      <c r="L139" s="2"/>
      <c r="M139" s="2"/>
      <c r="N139" s="2"/>
      <c r="O139" s="2"/>
    </row>
    <row r="140" spans="2:15" x14ac:dyDescent="0.3">
      <c r="B140" s="6">
        <v>2017</v>
      </c>
      <c r="C140" s="6">
        <v>6</v>
      </c>
      <c r="D140" s="6">
        <v>96.999468101749002</v>
      </c>
      <c r="E140" s="6">
        <v>119.23469032750234</v>
      </c>
      <c r="F140" s="6">
        <v>101.43136839141711</v>
      </c>
      <c r="G140" s="3">
        <v>142.97999999999999</v>
      </c>
      <c r="H140" s="11">
        <v>165.03401334904964</v>
      </c>
      <c r="I140" s="11">
        <v>54.565099945975135</v>
      </c>
      <c r="J140" s="11">
        <v>65.996168439664046</v>
      </c>
      <c r="K140" s="2"/>
      <c r="L140" s="2"/>
      <c r="M140" s="2"/>
      <c r="N140" s="2"/>
      <c r="O140" s="2"/>
    </row>
    <row r="141" spans="2:15" x14ac:dyDescent="0.3">
      <c r="B141" s="6">
        <v>2017</v>
      </c>
      <c r="C141" s="6">
        <v>7</v>
      </c>
      <c r="D141" s="6">
        <v>96.999468101749002</v>
      </c>
      <c r="E141" s="6">
        <v>116.9188050748142</v>
      </c>
      <c r="F141" s="6">
        <v>101.17813620606127</v>
      </c>
      <c r="G141" s="3">
        <v>173.41</v>
      </c>
      <c r="H141" s="11">
        <v>157.69795633561642</v>
      </c>
      <c r="I141" s="11">
        <v>59.882583170254399</v>
      </c>
      <c r="J141" s="11">
        <v>58.79135773972601</v>
      </c>
      <c r="K141" s="2"/>
      <c r="L141" s="2"/>
      <c r="M141" s="2"/>
      <c r="N141" s="2"/>
      <c r="O141" s="2"/>
    </row>
    <row r="142" spans="2:15" x14ac:dyDescent="0.3">
      <c r="B142" s="6">
        <v>2017</v>
      </c>
      <c r="C142" s="6">
        <v>8</v>
      </c>
      <c r="D142" s="6">
        <v>97.778542598792271</v>
      </c>
      <c r="E142" s="6">
        <v>122.57250658530295</v>
      </c>
      <c r="F142" s="6">
        <v>100.71898227955975</v>
      </c>
      <c r="G142" s="3">
        <v>165.8</v>
      </c>
      <c r="H142" s="11">
        <v>163.14477705896746</v>
      </c>
      <c r="I142" s="11">
        <v>58.918522143381459</v>
      </c>
      <c r="J142" s="11">
        <v>49.867397660875959</v>
      </c>
      <c r="K142" s="2"/>
      <c r="L142" s="2"/>
      <c r="M142" s="2"/>
      <c r="N142" s="2"/>
      <c r="O142" s="2"/>
    </row>
    <row r="143" spans="2:15" x14ac:dyDescent="0.3">
      <c r="B143" s="6">
        <v>2017</v>
      </c>
      <c r="C143" s="6">
        <v>9</v>
      </c>
      <c r="D143" s="6">
        <v>98.444979819154582</v>
      </c>
      <c r="E143" s="6">
        <v>117.53853151489493</v>
      </c>
      <c r="F143" s="6">
        <v>100.83614639246491</v>
      </c>
      <c r="G143" s="3">
        <v>152.44</v>
      </c>
      <c r="H143" s="11">
        <v>152.13970867762549</v>
      </c>
      <c r="I143" s="11">
        <v>55.021706258231305</v>
      </c>
      <c r="J143" s="11">
        <v>42.508518633237408</v>
      </c>
      <c r="K143" s="2"/>
      <c r="L143" s="2"/>
      <c r="M143" s="2"/>
      <c r="N143" s="2"/>
      <c r="O143" s="2"/>
    </row>
    <row r="144" spans="2:15" x14ac:dyDescent="0.3">
      <c r="B144" s="6">
        <v>2017</v>
      </c>
      <c r="C144" s="6">
        <v>10</v>
      </c>
      <c r="D144" s="6">
        <v>98.229091705516083</v>
      </c>
      <c r="E144" s="6">
        <v>115.59023395536738</v>
      </c>
      <c r="F144" s="6">
        <v>102.09078298026989</v>
      </c>
      <c r="G144" s="3">
        <v>157.15</v>
      </c>
      <c r="H144" s="11">
        <v>159.22400423034006</v>
      </c>
      <c r="I144" s="11">
        <v>57.487993014117308</v>
      </c>
      <c r="J144" s="11">
        <v>42.268398277785863</v>
      </c>
      <c r="K144" s="2"/>
      <c r="L144" s="2"/>
      <c r="M144" s="2"/>
      <c r="N144" s="2"/>
      <c r="O144" s="2"/>
    </row>
    <row r="145" spans="2:15" x14ac:dyDescent="0.3">
      <c r="B145" s="6">
        <v>2017</v>
      </c>
      <c r="C145" s="6">
        <v>11</v>
      </c>
      <c r="D145" s="6">
        <v>97.534495165983529</v>
      </c>
      <c r="E145" s="6">
        <v>114.66003265873719</v>
      </c>
      <c r="F145" s="6">
        <v>102.35361878143765</v>
      </c>
      <c r="G145" s="3">
        <v>167.93</v>
      </c>
      <c r="H145" s="11">
        <v>155.24250827341578</v>
      </c>
      <c r="I145" s="11">
        <v>55.60348959831272</v>
      </c>
      <c r="J145" s="11">
        <v>37.854257089444928</v>
      </c>
      <c r="K145" s="2"/>
      <c r="L145" s="2"/>
      <c r="M145" s="2"/>
      <c r="N145" s="2"/>
      <c r="O145" s="2"/>
    </row>
    <row r="146" spans="2:15" x14ac:dyDescent="0.3">
      <c r="B146" s="6">
        <v>2017</v>
      </c>
      <c r="C146" s="6">
        <v>12</v>
      </c>
      <c r="D146" s="6">
        <v>97.018240981195817</v>
      </c>
      <c r="E146" s="6">
        <v>114.23200197310344</v>
      </c>
      <c r="F146" s="6">
        <v>102.59401244881337</v>
      </c>
      <c r="G146" s="3">
        <v>177.49</v>
      </c>
      <c r="H146" s="11">
        <v>130.01306669036785</v>
      </c>
      <c r="I146" s="11">
        <v>64.799014031095936</v>
      </c>
      <c r="J146" s="11">
        <v>40.620546639173298</v>
      </c>
      <c r="K146" s="2"/>
      <c r="L146" s="2"/>
      <c r="M146" s="2"/>
      <c r="N146" s="2"/>
      <c r="O146" s="2"/>
    </row>
    <row r="147" spans="2:15" x14ac:dyDescent="0.3">
      <c r="B147" s="6">
        <v>2018</v>
      </c>
      <c r="C147" s="6">
        <v>1</v>
      </c>
      <c r="D147" s="6">
        <v>97.703451081004971</v>
      </c>
      <c r="E147" s="6">
        <v>106.50520462780308</v>
      </c>
      <c r="F147" s="6">
        <v>102.592091725651</v>
      </c>
      <c r="G147" s="3">
        <v>179.38</v>
      </c>
      <c r="H147" s="11">
        <v>167.40758497235478</v>
      </c>
      <c r="I147" s="11">
        <v>53.352866121638861</v>
      </c>
      <c r="J147" s="11">
        <v>52.608459997164594</v>
      </c>
      <c r="K147" s="2"/>
      <c r="L147" s="2"/>
      <c r="M147" s="2"/>
      <c r="N147" s="2"/>
      <c r="O147" s="2"/>
    </row>
    <row r="148" spans="2:15" x14ac:dyDescent="0.3">
      <c r="B148" s="6">
        <v>2018</v>
      </c>
      <c r="C148" s="6">
        <v>2</v>
      </c>
      <c r="D148" s="6">
        <v>98.041362911047827</v>
      </c>
      <c r="E148" s="6">
        <v>109.84040552635599</v>
      </c>
      <c r="F148" s="6">
        <v>102.84148246468209</v>
      </c>
      <c r="G148" s="3">
        <v>178.03</v>
      </c>
      <c r="H148" s="11">
        <v>159.16645344209732</v>
      </c>
      <c r="I148" s="11">
        <v>55.12070916635232</v>
      </c>
      <c r="J148" s="11">
        <v>56.793853366654076</v>
      </c>
      <c r="K148" s="2"/>
      <c r="L148" s="2"/>
      <c r="M148" s="2"/>
      <c r="N148" s="2"/>
      <c r="O148" s="2"/>
    </row>
    <row r="149" spans="2:15" x14ac:dyDescent="0.3">
      <c r="B149" s="6">
        <v>2018</v>
      </c>
      <c r="C149" s="6">
        <v>3</v>
      </c>
      <c r="D149" s="6">
        <v>98.172773067175612</v>
      </c>
      <c r="E149" s="6">
        <v>108.65438276011517</v>
      </c>
      <c r="F149" s="6">
        <v>103.30892582798965</v>
      </c>
      <c r="G149" s="3">
        <v>185.68</v>
      </c>
      <c r="H149" s="11">
        <v>172.66516464827197</v>
      </c>
      <c r="I149" s="11">
        <v>58.197570392692342</v>
      </c>
      <c r="J149" s="11">
        <v>68.001530224126554</v>
      </c>
      <c r="K149" s="2"/>
      <c r="L149" s="2"/>
      <c r="M149" s="2"/>
      <c r="N149" s="2"/>
      <c r="O149" s="2"/>
    </row>
    <row r="150" spans="2:15" x14ac:dyDescent="0.3">
      <c r="B150" s="6">
        <v>2018</v>
      </c>
      <c r="C150" s="6">
        <v>4</v>
      </c>
      <c r="D150" s="6">
        <v>98.426206939707754</v>
      </c>
      <c r="E150" s="6">
        <v>109.49675946289616</v>
      </c>
      <c r="F150" s="6">
        <v>104.48238658951088</v>
      </c>
      <c r="G150" s="3">
        <v>172.67</v>
      </c>
      <c r="H150" s="11">
        <v>166.52393017743145</v>
      </c>
      <c r="I150" s="11">
        <v>60.505069470521974</v>
      </c>
      <c r="J150" s="11">
        <v>70.495422582613585</v>
      </c>
      <c r="K150" s="2"/>
      <c r="L150" s="2"/>
      <c r="M150" s="2"/>
      <c r="N150" s="2"/>
      <c r="O150" s="2"/>
    </row>
    <row r="151" spans="2:15" x14ac:dyDescent="0.3">
      <c r="B151" s="6">
        <v>2018</v>
      </c>
      <c r="C151" s="6">
        <v>5</v>
      </c>
      <c r="D151" s="6">
        <v>98.923688245048638</v>
      </c>
      <c r="E151" s="6">
        <v>111.91635566565417</v>
      </c>
      <c r="F151" s="6">
        <v>103.49766215136665</v>
      </c>
      <c r="G151" s="3">
        <v>149.11000000000001</v>
      </c>
      <c r="H151" s="11">
        <v>154.01141617962838</v>
      </c>
      <c r="I151" s="11">
        <v>59.331528335356175</v>
      </c>
      <c r="J151" s="11">
        <v>65.136201068994495</v>
      </c>
      <c r="K151" s="2"/>
      <c r="L151" s="2"/>
      <c r="M151" s="2"/>
      <c r="N151" s="2"/>
      <c r="O151" s="2"/>
    </row>
    <row r="152" spans="2:15" x14ac:dyDescent="0.3">
      <c r="B152" s="6">
        <v>2018</v>
      </c>
      <c r="C152" s="6">
        <v>6</v>
      </c>
      <c r="D152" s="6">
        <v>99.28975939426175</v>
      </c>
      <c r="E152" s="6">
        <v>103.26200836568178</v>
      </c>
      <c r="F152" s="6">
        <v>104.3514741423908</v>
      </c>
      <c r="G152" s="3">
        <v>113.25</v>
      </c>
      <c r="H152" s="11">
        <v>123.66337181036486</v>
      </c>
      <c r="I152" s="11">
        <v>53.544039042528468</v>
      </c>
      <c r="J152" s="11">
        <v>54.974078870555424</v>
      </c>
      <c r="K152" s="2"/>
      <c r="L152" s="2"/>
      <c r="M152" s="2"/>
      <c r="N152" s="2"/>
      <c r="O152" s="2"/>
    </row>
    <row r="153" spans="2:15" x14ac:dyDescent="0.3">
      <c r="B153" s="6">
        <v>2018</v>
      </c>
      <c r="C153" s="6">
        <v>7</v>
      </c>
      <c r="D153" s="6">
        <v>99.937423735177234</v>
      </c>
      <c r="E153" s="6">
        <v>106.2860335509489</v>
      </c>
      <c r="F153" s="6">
        <v>104.48339749643846</v>
      </c>
      <c r="G153" s="3">
        <v>186.02</v>
      </c>
      <c r="H153" s="11">
        <v>176.15931989114759</v>
      </c>
      <c r="I153" s="11">
        <v>57.868539796250637</v>
      </c>
      <c r="J153" s="11">
        <v>49.51760307019584</v>
      </c>
      <c r="K153" s="2"/>
      <c r="L153" s="2"/>
      <c r="M153" s="2"/>
      <c r="N153" s="2"/>
      <c r="O153" s="2"/>
    </row>
    <row r="154" spans="2:15" x14ac:dyDescent="0.3">
      <c r="B154" s="6">
        <v>2018</v>
      </c>
      <c r="C154" s="6">
        <v>8</v>
      </c>
      <c r="D154" s="6">
        <v>100.72588467194392</v>
      </c>
      <c r="E154" s="6">
        <v>100.93958117539128</v>
      </c>
      <c r="F154" s="6">
        <v>105.19345852236241</v>
      </c>
      <c r="G154" s="3">
        <v>173.41</v>
      </c>
      <c r="H154" s="11">
        <v>185.13274096610252</v>
      </c>
      <c r="I154" s="11">
        <v>59.075861425840451</v>
      </c>
      <c r="J154" s="11">
        <v>44.869555224506925</v>
      </c>
      <c r="K154" s="2"/>
      <c r="L154" s="2"/>
      <c r="M154" s="2"/>
      <c r="N154" s="2"/>
      <c r="O154" s="2"/>
    </row>
    <row r="155" spans="2:15" x14ac:dyDescent="0.3">
      <c r="B155" s="6">
        <v>2018</v>
      </c>
      <c r="C155" s="6">
        <v>9</v>
      </c>
      <c r="D155" s="6">
        <v>100.88545414724194</v>
      </c>
      <c r="E155" s="6">
        <v>103.17397098932832</v>
      </c>
      <c r="F155" s="6">
        <v>105.23925260618127</v>
      </c>
      <c r="G155" s="3">
        <v>151.37</v>
      </c>
      <c r="H155" s="11">
        <v>147.5364217964183</v>
      </c>
      <c r="I155" s="11">
        <v>56.462837524357433</v>
      </c>
      <c r="J155" s="11">
        <v>42.461303215180486</v>
      </c>
      <c r="K155" s="2"/>
      <c r="L155" s="2"/>
      <c r="M155" s="2"/>
      <c r="N155" s="2"/>
      <c r="O155" s="2"/>
    </row>
    <row r="156" spans="2:15" x14ac:dyDescent="0.3">
      <c r="B156" s="6">
        <v>2018</v>
      </c>
      <c r="C156" s="6">
        <v>10</v>
      </c>
      <c r="D156" s="6">
        <v>101.06379650198679</v>
      </c>
      <c r="E156" s="6">
        <v>98.915565054954399</v>
      </c>
      <c r="F156" s="6">
        <v>105.06325371009162</v>
      </c>
      <c r="G156" s="3">
        <v>150.91999999999999</v>
      </c>
      <c r="H156" s="11">
        <v>167.81877524578815</v>
      </c>
      <c r="I156" s="11">
        <v>59.496884375721216</v>
      </c>
      <c r="J156" s="11">
        <v>36.21840866835911</v>
      </c>
      <c r="K156" s="2"/>
      <c r="L156" s="2"/>
      <c r="M156" s="2"/>
      <c r="N156" s="2"/>
      <c r="O156" s="2"/>
    </row>
    <row r="157" spans="2:15" x14ac:dyDescent="0.3">
      <c r="B157" s="6">
        <v>2018</v>
      </c>
      <c r="C157" s="6">
        <v>11</v>
      </c>
      <c r="D157" s="6">
        <v>101.12011514032726</v>
      </c>
      <c r="E157" s="6">
        <v>98.264451932274909</v>
      </c>
      <c r="F157" s="6">
        <v>105.14705789438703</v>
      </c>
      <c r="G157" s="3">
        <v>168.47</v>
      </c>
      <c r="H157" s="11">
        <v>160.55471047339179</v>
      </c>
      <c r="I157" s="11">
        <v>57.578401212176878</v>
      </c>
      <c r="J157" s="11">
        <v>35.780172680104691</v>
      </c>
      <c r="K157" s="2"/>
      <c r="L157" s="2"/>
      <c r="M157" s="2"/>
      <c r="N157" s="2"/>
      <c r="O157" s="2"/>
    </row>
    <row r="158" spans="2:15" x14ac:dyDescent="0.3">
      <c r="B158" s="6">
        <v>2018</v>
      </c>
      <c r="C158" s="6">
        <v>12</v>
      </c>
      <c r="D158" s="6">
        <v>100.7164982322205</v>
      </c>
      <c r="E158" s="6">
        <v>107.00700859968823</v>
      </c>
      <c r="F158" s="6">
        <v>105.179912369533</v>
      </c>
      <c r="G158" s="3">
        <v>191.1</v>
      </c>
      <c r="H158" s="11">
        <v>132.12320423226097</v>
      </c>
      <c r="I158" s="11">
        <v>68.218115446041523</v>
      </c>
      <c r="J158" s="11">
        <v>34.450963248916274</v>
      </c>
      <c r="K158" s="2"/>
      <c r="L158" s="2"/>
      <c r="M158" s="2"/>
      <c r="N158" s="2"/>
      <c r="O158" s="2"/>
    </row>
    <row r="159" spans="2:15" x14ac:dyDescent="0.3">
      <c r="B159" s="6">
        <v>2019</v>
      </c>
      <c r="C159" s="6">
        <v>1</v>
      </c>
      <c r="D159" s="6">
        <v>101.67391508400861</v>
      </c>
      <c r="E159" s="6">
        <v>111.5838821176669</v>
      </c>
      <c r="F159" s="6">
        <v>104.48713785207048</v>
      </c>
      <c r="G159" s="3">
        <v>175.15</v>
      </c>
      <c r="H159" s="11">
        <v>153.35189879231476</v>
      </c>
      <c r="I159" s="11">
        <v>56.816102470265328</v>
      </c>
      <c r="J159" s="11">
        <v>46.390261555352239</v>
      </c>
      <c r="K159" s="2"/>
      <c r="L159" s="2"/>
      <c r="M159" s="2"/>
      <c r="N159" s="2"/>
      <c r="O159" s="2"/>
    </row>
    <row r="160" spans="2:15" x14ac:dyDescent="0.3">
      <c r="B160" s="6">
        <v>2019</v>
      </c>
      <c r="C160" s="6">
        <v>2</v>
      </c>
      <c r="D160" s="6">
        <v>102.05875911266855</v>
      </c>
      <c r="E160" s="6">
        <v>107.82521595335427</v>
      </c>
      <c r="F160" s="6">
        <v>103.94660591789972</v>
      </c>
      <c r="G160" s="3">
        <v>159.91999999999999</v>
      </c>
      <c r="H160" s="11">
        <v>147.02626137317517</v>
      </c>
      <c r="I160" s="11">
        <v>55.793795620437962</v>
      </c>
      <c r="J160" s="11">
        <v>53.608943193430669</v>
      </c>
      <c r="K160" s="2"/>
      <c r="L160" s="2"/>
      <c r="M160" s="2"/>
      <c r="N160" s="2"/>
      <c r="O160" s="2"/>
    </row>
    <row r="161" spans="2:15" x14ac:dyDescent="0.3">
      <c r="B161" s="6">
        <v>2019</v>
      </c>
      <c r="C161" s="6">
        <v>3</v>
      </c>
      <c r="D161" s="6">
        <v>100.66956603360345</v>
      </c>
      <c r="E161" s="6">
        <v>103.69029402091535</v>
      </c>
      <c r="F161" s="6">
        <v>103.95772589410296</v>
      </c>
      <c r="G161" s="3">
        <v>172.48</v>
      </c>
      <c r="H161" s="11">
        <v>152.2955179309109</v>
      </c>
      <c r="I161" s="11">
        <v>61.5170930597249</v>
      </c>
      <c r="J161" s="11">
        <v>64.96255420493749</v>
      </c>
      <c r="K161" s="2"/>
      <c r="L161" s="2"/>
      <c r="M161" s="2"/>
      <c r="N161" s="2"/>
      <c r="O161" s="2"/>
    </row>
    <row r="162" spans="2:15" x14ac:dyDescent="0.3">
      <c r="B162" s="6">
        <v>2019</v>
      </c>
      <c r="C162" s="6">
        <v>4</v>
      </c>
      <c r="D162" s="6">
        <v>99.871718657113348</v>
      </c>
      <c r="E162" s="6">
        <v>105.4104161259457</v>
      </c>
      <c r="F162" s="6">
        <v>103.3903038356589</v>
      </c>
      <c r="G162" s="3">
        <v>153.28</v>
      </c>
      <c r="H162" s="11">
        <v>143.94211606017572</v>
      </c>
      <c r="I162" s="11">
        <v>59.687583207597406</v>
      </c>
      <c r="J162" s="11">
        <v>60.091724012603166</v>
      </c>
      <c r="K162" s="2"/>
      <c r="L162" s="2"/>
      <c r="M162" s="2"/>
      <c r="N162" s="2"/>
      <c r="O162" s="2"/>
    </row>
    <row r="163" spans="2:15" x14ac:dyDescent="0.3">
      <c r="B163" s="6">
        <v>2019</v>
      </c>
      <c r="C163" s="6">
        <v>5</v>
      </c>
      <c r="D163" s="6">
        <v>99.571352585964135</v>
      </c>
      <c r="E163" s="6">
        <v>107.08822326118201</v>
      </c>
      <c r="F163" s="6">
        <v>103.53466134491563</v>
      </c>
      <c r="G163" s="3">
        <v>143.27000000000001</v>
      </c>
      <c r="H163" s="11">
        <v>147.55449882850345</v>
      </c>
      <c r="I163" s="11">
        <v>63.419360521448077</v>
      </c>
      <c r="J163" s="11">
        <v>61.356313952259313</v>
      </c>
      <c r="K163" s="2"/>
      <c r="L163" s="2"/>
      <c r="M163" s="2"/>
      <c r="N163" s="2"/>
      <c r="O163" s="2"/>
    </row>
    <row r="164" spans="2:15" x14ac:dyDescent="0.3">
      <c r="B164" s="6">
        <v>2019</v>
      </c>
      <c r="C164" s="6">
        <v>6</v>
      </c>
      <c r="D164" s="6">
        <v>99.956196614624048</v>
      </c>
      <c r="E164" s="6">
        <v>112.74948568751597</v>
      </c>
      <c r="F164" s="6">
        <v>103.66092362016893</v>
      </c>
      <c r="G164" s="3">
        <v>134.07</v>
      </c>
      <c r="H164" s="11">
        <v>155.16343474434569</v>
      </c>
      <c r="I164" s="11">
        <v>59.095309337322902</v>
      </c>
      <c r="J164" s="11">
        <v>58.341383582680621</v>
      </c>
      <c r="K164" s="2"/>
      <c r="L164" s="2"/>
      <c r="M164" s="2"/>
      <c r="N164" s="2"/>
      <c r="O164" s="2"/>
    </row>
    <row r="165" spans="2:15" x14ac:dyDescent="0.3">
      <c r="B165" s="6">
        <v>2019</v>
      </c>
      <c r="C165" s="6">
        <v>7</v>
      </c>
      <c r="D165" s="6">
        <v>100.06883389130502</v>
      </c>
      <c r="E165" s="6">
        <v>111.43865071730394</v>
      </c>
      <c r="F165" s="6">
        <v>103.11826878145028</v>
      </c>
      <c r="G165" s="3">
        <v>179.09</v>
      </c>
      <c r="H165" s="11">
        <v>162.56929500548125</v>
      </c>
      <c r="I165" s="11">
        <v>64.108748081561046</v>
      </c>
      <c r="J165" s="11">
        <v>58.599060767375569</v>
      </c>
      <c r="K165" s="2"/>
      <c r="L165" s="2"/>
      <c r="M165" s="2"/>
      <c r="N165" s="2"/>
      <c r="O165" s="2"/>
    </row>
    <row r="166" spans="2:15" x14ac:dyDescent="0.3">
      <c r="B166" s="6">
        <v>2019</v>
      </c>
      <c r="C166" s="6">
        <v>8</v>
      </c>
      <c r="D166" s="6">
        <v>100.43490504051812</v>
      </c>
      <c r="E166" s="6">
        <v>109.42988623482859</v>
      </c>
      <c r="F166" s="6">
        <v>103.90242928516498</v>
      </c>
      <c r="G166" s="3">
        <v>169.43</v>
      </c>
      <c r="H166" s="11">
        <v>164.7439741117642</v>
      </c>
      <c r="I166" s="11">
        <v>63.821387841038693</v>
      </c>
      <c r="J166" s="11">
        <v>50.231039828055103</v>
      </c>
      <c r="K166" s="2"/>
      <c r="L166" s="2"/>
      <c r="M166" s="2"/>
      <c r="N166" s="2"/>
      <c r="O166" s="2"/>
    </row>
    <row r="167" spans="2:15" x14ac:dyDescent="0.3">
      <c r="B167" s="6">
        <v>2019</v>
      </c>
      <c r="C167" s="6">
        <v>9</v>
      </c>
      <c r="D167" s="6">
        <v>101.0074778636463</v>
      </c>
      <c r="E167" s="6">
        <v>108.27550233352916</v>
      </c>
      <c r="F167" s="6">
        <v>103.5776248893373</v>
      </c>
      <c r="G167" s="3">
        <v>147.32</v>
      </c>
      <c r="H167" s="11">
        <v>147.32825746035931</v>
      </c>
      <c r="I167" s="11">
        <v>61.09720209074537</v>
      </c>
      <c r="J167" s="11">
        <v>49.838572104361575</v>
      </c>
      <c r="K167" s="2"/>
      <c r="L167" s="2"/>
      <c r="M167" s="2"/>
      <c r="N167" s="2"/>
      <c r="O167" s="2"/>
    </row>
    <row r="168" spans="2:15" x14ac:dyDescent="0.3">
      <c r="B168" s="6">
        <v>2019</v>
      </c>
      <c r="C168" s="6">
        <v>10</v>
      </c>
      <c r="D168" s="6">
        <v>101.36416257313599</v>
      </c>
      <c r="E168" s="6">
        <v>111.03551840493839</v>
      </c>
      <c r="F168" s="6">
        <v>102.69581077641951</v>
      </c>
      <c r="G168" s="3">
        <v>166.7</v>
      </c>
      <c r="H168" s="11">
        <v>173.07445734109612</v>
      </c>
      <c r="I168" s="11">
        <v>63.29889686569777</v>
      </c>
      <c r="J168" s="11">
        <v>38.20416145158466</v>
      </c>
      <c r="K168" s="2"/>
      <c r="L168" s="2"/>
      <c r="M168" s="2"/>
      <c r="N168" s="2"/>
      <c r="O168" s="2"/>
    </row>
    <row r="169" spans="2:15" x14ac:dyDescent="0.3">
      <c r="B169" s="6">
        <v>2019</v>
      </c>
      <c r="C169" s="6">
        <v>11</v>
      </c>
      <c r="D169" s="6">
        <v>101.20459309783797</v>
      </c>
      <c r="E169" s="6">
        <v>112.80552988843893</v>
      </c>
      <c r="F169" s="6">
        <v>103.26353610694184</v>
      </c>
      <c r="G169" s="3">
        <v>174.8</v>
      </c>
      <c r="H169" s="11">
        <v>149.22885013029881</v>
      </c>
      <c r="I169" s="11">
        <v>62.630298818624041</v>
      </c>
      <c r="J169" s="11">
        <v>43.697230806984017</v>
      </c>
      <c r="K169" s="2"/>
      <c r="L169" s="2"/>
      <c r="M169" s="2"/>
      <c r="N169" s="2"/>
      <c r="O169" s="2"/>
    </row>
    <row r="170" spans="2:15" x14ac:dyDescent="0.3">
      <c r="B170" s="6">
        <v>2019</v>
      </c>
      <c r="C170" s="6">
        <v>12</v>
      </c>
      <c r="D170" s="6">
        <v>100.59447451581615</v>
      </c>
      <c r="E170" s="6">
        <v>108.91857215732963</v>
      </c>
      <c r="F170" s="6">
        <v>103.05397510085693</v>
      </c>
      <c r="G170" s="3">
        <v>180.11</v>
      </c>
      <c r="H170" s="11">
        <v>145.32482733995442</v>
      </c>
      <c r="I170" s="11">
        <v>71.456210499161614</v>
      </c>
      <c r="J170" s="11">
        <v>43.813564972698742</v>
      </c>
      <c r="K170" s="2"/>
      <c r="L170" s="2"/>
      <c r="M170" s="2"/>
      <c r="N170" s="2"/>
      <c r="O170" s="2"/>
    </row>
    <row r="171" spans="2:15" x14ac:dyDescent="0.3">
      <c r="B171" s="6">
        <v>2020</v>
      </c>
      <c r="C171" s="6">
        <v>1</v>
      </c>
      <c r="D171" s="6">
        <v>101.03563718281654</v>
      </c>
      <c r="E171" s="6">
        <v>119.8422324261408</v>
      </c>
      <c r="F171" s="6">
        <v>102.44247750037088</v>
      </c>
      <c r="G171" s="3">
        <v>182.78</v>
      </c>
      <c r="H171" s="11">
        <v>154.63900330137989</v>
      </c>
      <c r="I171" s="11">
        <v>59.837510209345311</v>
      </c>
      <c r="J171" s="11">
        <v>56.804645772256379</v>
      </c>
      <c r="K171" s="2"/>
      <c r="L171" s="2"/>
      <c r="M171" s="2"/>
      <c r="N171" s="2"/>
      <c r="O171" s="2"/>
    </row>
    <row r="172" spans="2:15" x14ac:dyDescent="0.3">
      <c r="B172" s="6">
        <v>2020</v>
      </c>
      <c r="C172" s="6">
        <v>2</v>
      </c>
      <c r="D172" s="6">
        <v>101.21397953756139</v>
      </c>
      <c r="E172" s="6">
        <v>121.4729462119147</v>
      </c>
      <c r="F172" s="6">
        <v>102.78072695833524</v>
      </c>
      <c r="G172" s="3">
        <v>186.55</v>
      </c>
      <c r="H172" s="11">
        <v>143.97495223784617</v>
      </c>
      <c r="I172" s="11">
        <v>61.647946497470642</v>
      </c>
      <c r="J172" s="11">
        <v>59.725488883649135</v>
      </c>
      <c r="K172" s="2"/>
      <c r="L172" s="2"/>
      <c r="M172" s="2"/>
      <c r="N172" s="2"/>
      <c r="O172" s="2"/>
    </row>
    <row r="173" spans="2:15" x14ac:dyDescent="0.3">
      <c r="B173" s="6">
        <v>2020</v>
      </c>
      <c r="C173" s="6">
        <v>3</v>
      </c>
      <c r="D173" s="6">
        <v>101.0731829417102</v>
      </c>
      <c r="E173" s="6">
        <v>126.8018063094932</v>
      </c>
      <c r="F173" s="6">
        <v>98.670581572228173</v>
      </c>
      <c r="G173" s="3">
        <v>173.31</v>
      </c>
      <c r="H173" s="11">
        <v>150.29431531860115</v>
      </c>
      <c r="I173" s="11">
        <v>60.716584423943353</v>
      </c>
      <c r="J173" s="11">
        <v>68.0719876635915</v>
      </c>
      <c r="K173" s="2"/>
      <c r="L173" s="2"/>
      <c r="M173" s="2"/>
      <c r="N173" s="2"/>
      <c r="O173" s="2"/>
    </row>
    <row r="174" spans="2:15" x14ac:dyDescent="0.3">
      <c r="B174" s="6">
        <v>2020</v>
      </c>
      <c r="C174" s="6">
        <v>4</v>
      </c>
      <c r="D174" s="6">
        <v>100.65079315415662</v>
      </c>
      <c r="E174" s="6">
        <v>133.2973703402389</v>
      </c>
      <c r="F174" s="6">
        <v>85.604811714793854</v>
      </c>
      <c r="G174" s="3">
        <v>124.21</v>
      </c>
      <c r="H174" s="11">
        <v>87.140357515581343</v>
      </c>
      <c r="I174" s="11">
        <v>52.525252525252533</v>
      </c>
      <c r="J174" s="11">
        <v>70.257894459488512</v>
      </c>
      <c r="K174" s="2"/>
      <c r="L174" s="2"/>
      <c r="M174" s="2"/>
      <c r="N174" s="2"/>
      <c r="O174" s="2"/>
    </row>
    <row r="175" spans="2:15" x14ac:dyDescent="0.3">
      <c r="B175" s="6">
        <v>2020</v>
      </c>
      <c r="C175" s="6">
        <v>5</v>
      </c>
      <c r="D175" s="6">
        <v>100.51938299802883</v>
      </c>
      <c r="E175" s="6">
        <v>133.23999590783771</v>
      </c>
      <c r="F175" s="6">
        <v>86.948913565688628</v>
      </c>
      <c r="G175" s="3">
        <v>124.93</v>
      </c>
      <c r="H175" s="11">
        <v>94.168389359062132</v>
      </c>
      <c r="I175" s="11">
        <v>68.115693992811913</v>
      </c>
      <c r="J175" s="11">
        <v>54.725110131781619</v>
      </c>
      <c r="K175" s="2"/>
      <c r="L175" s="2"/>
      <c r="M175" s="2"/>
      <c r="N175" s="2"/>
      <c r="O175" s="2"/>
    </row>
    <row r="176" spans="2:15" x14ac:dyDescent="0.3">
      <c r="B176" s="6">
        <v>2020</v>
      </c>
      <c r="C176" s="6">
        <v>6</v>
      </c>
      <c r="D176" s="6">
        <v>100.7071117924971</v>
      </c>
      <c r="E176" s="6">
        <v>133.20369234936641</v>
      </c>
      <c r="F176" s="6">
        <v>92.674387131357008</v>
      </c>
      <c r="G176" s="3">
        <v>128.63999999999999</v>
      </c>
      <c r="H176" s="11">
        <v>109.73692537687376</v>
      </c>
      <c r="I176" s="11">
        <v>65.692810735063063</v>
      </c>
      <c r="J176" s="11">
        <v>57.137126158223282</v>
      </c>
      <c r="K176" s="2"/>
      <c r="L176" s="2"/>
      <c r="M176" s="2"/>
      <c r="N176" s="2"/>
      <c r="O176" s="2"/>
    </row>
    <row r="177" spans="2:15" x14ac:dyDescent="0.3">
      <c r="B177" s="6">
        <v>2020</v>
      </c>
      <c r="C177" s="6">
        <v>7</v>
      </c>
      <c r="D177" s="6">
        <v>101.57066424705107</v>
      </c>
      <c r="E177" s="6">
        <v>129.20033522192449</v>
      </c>
      <c r="F177" s="6">
        <v>96.039898474617274</v>
      </c>
      <c r="G177" s="3">
        <v>188.41</v>
      </c>
      <c r="H177" s="11">
        <v>140.46124581832055</v>
      </c>
      <c r="I177" s="11">
        <v>68.839811792632787</v>
      </c>
      <c r="J177" s="11">
        <v>62.441108147174788</v>
      </c>
      <c r="K177" s="2"/>
      <c r="L177" s="2"/>
      <c r="M177" s="2"/>
      <c r="N177" s="2"/>
      <c r="O177" s="2"/>
    </row>
    <row r="178" spans="2:15" x14ac:dyDescent="0.3">
      <c r="B178" s="6">
        <v>2020</v>
      </c>
      <c r="C178" s="6">
        <v>8</v>
      </c>
      <c r="D178" s="6">
        <v>102.87537936860546</v>
      </c>
      <c r="E178" s="6">
        <v>136.01143633243589</v>
      </c>
      <c r="F178" s="6">
        <v>96.975695017467217</v>
      </c>
      <c r="G178" s="3">
        <v>172.07</v>
      </c>
      <c r="H178" s="11">
        <v>141.18065150300603</v>
      </c>
      <c r="I178" s="11">
        <v>69.500703534729041</v>
      </c>
      <c r="J178" s="11">
        <v>56.013535786466562</v>
      </c>
      <c r="K178" s="2"/>
      <c r="L178" s="2"/>
      <c r="M178" s="2"/>
      <c r="N178" s="2"/>
      <c r="O178" s="2"/>
    </row>
    <row r="179" spans="2:15" x14ac:dyDescent="0.3">
      <c r="B179" s="6">
        <v>2020</v>
      </c>
      <c r="C179" s="6">
        <v>9</v>
      </c>
      <c r="D179" s="6">
        <v>103.38224711366978</v>
      </c>
      <c r="E179" s="6">
        <v>131.65448666310149</v>
      </c>
      <c r="F179" s="6">
        <v>96.937280554219626</v>
      </c>
      <c r="G179" s="3">
        <v>177.18</v>
      </c>
      <c r="H179" s="11">
        <v>147.93785758352558</v>
      </c>
      <c r="I179" s="11">
        <v>66.948645646415443</v>
      </c>
      <c r="J179" s="11">
        <v>48.775827958643085</v>
      </c>
      <c r="K179" s="2"/>
      <c r="L179" s="2"/>
      <c r="M179" s="2"/>
      <c r="N179" s="2"/>
      <c r="O179" s="2"/>
    </row>
    <row r="180" spans="2:15" x14ac:dyDescent="0.3">
      <c r="B180" s="6">
        <v>2020</v>
      </c>
      <c r="C180" s="6">
        <v>10</v>
      </c>
      <c r="D180" s="6">
        <v>103.34470135477612</v>
      </c>
      <c r="E180" s="6">
        <v>130.59044485124099</v>
      </c>
      <c r="F180" s="6">
        <v>97.578397727683424</v>
      </c>
      <c r="G180" s="3">
        <v>178.57</v>
      </c>
      <c r="H180" s="11">
        <v>158.95930342313923</v>
      </c>
      <c r="I180" s="11">
        <v>70.551624179384433</v>
      </c>
      <c r="J180" s="11">
        <v>52.524083216813025</v>
      </c>
      <c r="K180" s="2"/>
      <c r="L180" s="2"/>
      <c r="M180" s="2"/>
      <c r="N180" s="2"/>
      <c r="O180" s="2"/>
    </row>
    <row r="181" spans="2:15" x14ac:dyDescent="0.3">
      <c r="B181" s="6">
        <v>2020</v>
      </c>
      <c r="C181" s="6">
        <v>11</v>
      </c>
      <c r="D181" s="6">
        <v>102.92231156722255</v>
      </c>
      <c r="E181" s="6">
        <v>126.9600148111265</v>
      </c>
      <c r="F181" s="6">
        <v>98.010358257833346</v>
      </c>
      <c r="G181" s="3">
        <v>162.62</v>
      </c>
      <c r="H181" s="11">
        <v>129.49874661701855</v>
      </c>
      <c r="I181" s="11">
        <v>64.4437862311175</v>
      </c>
      <c r="J181" s="11">
        <v>40.490893064782298</v>
      </c>
      <c r="K181" s="2"/>
      <c r="L181" s="2"/>
      <c r="M181" s="2"/>
      <c r="N181" s="2"/>
      <c r="O181" s="2"/>
    </row>
    <row r="182" spans="2:15" x14ac:dyDescent="0.3">
      <c r="B182" s="6">
        <v>2020</v>
      </c>
      <c r="C182" s="6">
        <v>12</v>
      </c>
      <c r="D182" s="6">
        <v>102.19955570851974</v>
      </c>
      <c r="E182" s="6">
        <v>127.603564569239</v>
      </c>
      <c r="F182" s="6">
        <v>99.275002824221247</v>
      </c>
      <c r="G182" s="3">
        <v>190.78</v>
      </c>
      <c r="H182" s="11">
        <v>125.83996604010024</v>
      </c>
      <c r="I182" s="11">
        <v>79.741019214703428</v>
      </c>
      <c r="J182" s="11">
        <v>51.176270676691736</v>
      </c>
      <c r="K182" s="2"/>
      <c r="L182" s="2"/>
      <c r="M182" s="2"/>
      <c r="N182" s="2"/>
      <c r="O182" s="2"/>
    </row>
    <row r="183" spans="2:15" x14ac:dyDescent="0.3">
      <c r="B183" s="6">
        <v>2021</v>
      </c>
      <c r="C183" s="6">
        <v>1</v>
      </c>
      <c r="D183" s="6">
        <v>102.387284502988</v>
      </c>
      <c r="E183" s="6">
        <v>124.0404832197701</v>
      </c>
      <c r="F183" s="6">
        <v>99.891251687266859</v>
      </c>
      <c r="G183" s="3">
        <v>195.06</v>
      </c>
      <c r="H183" s="11">
        <v>144.79471606465859</v>
      </c>
      <c r="I183" s="11">
        <v>65.033537474482344</v>
      </c>
      <c r="J183" s="11">
        <v>56.824590538682664</v>
      </c>
      <c r="K183" s="2"/>
      <c r="L183" s="2"/>
      <c r="M183" s="2"/>
      <c r="N183" s="2"/>
      <c r="O183" s="2"/>
    </row>
    <row r="184" spans="2:15" x14ac:dyDescent="0.3">
      <c r="B184" s="6">
        <v>2021</v>
      </c>
      <c r="C184" s="6">
        <v>2</v>
      </c>
      <c r="D184" s="6">
        <v>102.0212133537749</v>
      </c>
      <c r="E184" s="6">
        <v>123.7123306118433</v>
      </c>
      <c r="F184" s="6">
        <v>96.548890112647896</v>
      </c>
      <c r="G184" s="3">
        <v>193.67</v>
      </c>
      <c r="H184" s="11">
        <v>151.54392329174587</v>
      </c>
      <c r="I184" s="11">
        <v>63.455341650830363</v>
      </c>
      <c r="J184" s="11">
        <v>65.07194281996199</v>
      </c>
      <c r="K184" s="2"/>
      <c r="L184" s="2"/>
      <c r="M184" s="2"/>
      <c r="N184" s="2"/>
      <c r="O184" s="2"/>
    </row>
    <row r="185" spans="2:15" x14ac:dyDescent="0.3">
      <c r="B185" s="6">
        <v>2021</v>
      </c>
      <c r="C185" s="6">
        <v>3</v>
      </c>
      <c r="D185" s="6">
        <v>102.34035230437094</v>
      </c>
      <c r="E185" s="6">
        <v>122.2085954791648</v>
      </c>
      <c r="F185" s="6">
        <v>99.263882848017985</v>
      </c>
      <c r="G185" s="3">
        <v>206.31</v>
      </c>
      <c r="H185" s="11">
        <v>188.49109059061124</v>
      </c>
      <c r="I185" s="11">
        <v>78.597040761653545</v>
      </c>
      <c r="J185" s="11">
        <v>80.740822021184528</v>
      </c>
      <c r="K185" s="2"/>
      <c r="L185" s="2"/>
      <c r="M185" s="2"/>
      <c r="N185" s="2"/>
      <c r="O185" s="2"/>
    </row>
    <row r="186" spans="2:15" x14ac:dyDescent="0.3">
      <c r="B186" s="6">
        <v>2021</v>
      </c>
      <c r="C186" s="6">
        <v>4</v>
      </c>
      <c r="D186" s="6">
        <v>103.11942680141421</v>
      </c>
      <c r="E186" s="6">
        <v>131.36322489162069</v>
      </c>
      <c r="F186" s="6">
        <v>99.404196729564461</v>
      </c>
      <c r="G186" s="3">
        <v>175.13</v>
      </c>
      <c r="H186" s="11">
        <v>158.78696353905059</v>
      </c>
      <c r="I186" s="11">
        <v>70.319897896166992</v>
      </c>
      <c r="J186" s="11">
        <v>71.909562357445765</v>
      </c>
      <c r="K186" s="2"/>
      <c r="L186" s="2"/>
      <c r="M186" s="2"/>
      <c r="N186" s="2"/>
      <c r="O186" s="2"/>
    </row>
    <row r="187" spans="2:15" x14ac:dyDescent="0.3">
      <c r="B187" s="6">
        <v>2021</v>
      </c>
      <c r="C187" s="6">
        <v>5</v>
      </c>
      <c r="D187" s="6">
        <v>103.87034197928723</v>
      </c>
      <c r="E187" s="6">
        <v>126.4147157286955</v>
      </c>
      <c r="F187" s="6">
        <v>100.26852215263534</v>
      </c>
      <c r="G187" s="3">
        <v>175</v>
      </c>
      <c r="H187" s="11">
        <v>155.70587921484713</v>
      </c>
      <c r="I187" s="11">
        <v>76.992716349121437</v>
      </c>
      <c r="J187" s="11">
        <v>78.59394233982141</v>
      </c>
      <c r="K187" s="2"/>
      <c r="L187" s="2"/>
      <c r="M187" s="2"/>
      <c r="N187" s="2"/>
      <c r="O187" s="2"/>
    </row>
    <row r="188" spans="2:15" x14ac:dyDescent="0.3">
      <c r="B188" s="6">
        <v>2021</v>
      </c>
      <c r="C188" s="6">
        <v>6</v>
      </c>
      <c r="D188" s="6">
        <v>104.1331622915428</v>
      </c>
      <c r="E188" s="6">
        <v>121.2340699230772</v>
      </c>
      <c r="F188" s="6">
        <v>100.73515679040085</v>
      </c>
      <c r="G188" s="3">
        <v>173.11</v>
      </c>
      <c r="H188" s="11">
        <v>170.46601874004168</v>
      </c>
      <c r="I188" s="11">
        <v>70.229194754259098</v>
      </c>
      <c r="J188" s="11">
        <v>77.835186011357592</v>
      </c>
      <c r="K188" s="2"/>
      <c r="L188" s="2"/>
      <c r="M188" s="2"/>
      <c r="N188" s="2"/>
      <c r="O188" s="2"/>
    </row>
    <row r="189" spans="2:15" x14ac:dyDescent="0.3">
      <c r="B189" s="6">
        <v>2021</v>
      </c>
      <c r="C189" s="6">
        <v>7</v>
      </c>
      <c r="D189" s="6">
        <v>104.43352836269202</v>
      </c>
      <c r="E189" s="6">
        <v>122.0673947978613</v>
      </c>
      <c r="F189" s="6">
        <v>101.15822133958817</v>
      </c>
      <c r="G189" s="3">
        <v>209.27</v>
      </c>
      <c r="H189" s="11">
        <v>189.27617798224898</v>
      </c>
      <c r="I189" s="11">
        <v>71.899682436283683</v>
      </c>
      <c r="J189" s="11">
        <v>63.801733046983145</v>
      </c>
      <c r="K189" s="2"/>
      <c r="L189" s="2"/>
      <c r="M189" s="2"/>
      <c r="N189" s="2"/>
      <c r="O189" s="2"/>
    </row>
    <row r="190" spans="2:15" x14ac:dyDescent="0.3">
      <c r="B190" s="6">
        <v>2021</v>
      </c>
      <c r="C190" s="6">
        <v>8</v>
      </c>
      <c r="D190" s="6">
        <v>104.70573511467099</v>
      </c>
      <c r="E190" s="6">
        <v>126.85990891548281</v>
      </c>
      <c r="F190" s="6">
        <v>101.13234212224242</v>
      </c>
      <c r="G190" s="3">
        <v>192.22</v>
      </c>
      <c r="H190" s="11">
        <v>176.44193958003328</v>
      </c>
      <c r="I190" s="11">
        <v>70.996303968157264</v>
      </c>
      <c r="J190" s="11">
        <v>58.45584396653264</v>
      </c>
      <c r="K190" s="2"/>
      <c r="L190" s="2"/>
      <c r="M190" s="2"/>
      <c r="N190" s="2"/>
      <c r="O190" s="2"/>
    </row>
    <row r="191" spans="2:15" x14ac:dyDescent="0.3">
      <c r="B191" s="6">
        <v>2021</v>
      </c>
      <c r="C191" s="6">
        <v>9</v>
      </c>
      <c r="D191" s="6">
        <v>104.7151215543944</v>
      </c>
      <c r="E191" s="6">
        <v>121.7168531939268</v>
      </c>
      <c r="F191" s="6">
        <v>100.07523674808429</v>
      </c>
      <c r="G191" s="3">
        <v>174.03</v>
      </c>
      <c r="H191" s="11">
        <v>162.21244008959923</v>
      </c>
      <c r="I191" s="11">
        <v>70.912539855511142</v>
      </c>
      <c r="J191" s="11">
        <v>53.127871655164057</v>
      </c>
      <c r="K191" s="2"/>
      <c r="L191" s="2"/>
      <c r="M191" s="2"/>
      <c r="N191" s="2"/>
      <c r="O191" s="2"/>
    </row>
    <row r="192" spans="2:15" x14ac:dyDescent="0.3">
      <c r="B192" s="6">
        <v>2021</v>
      </c>
      <c r="C192" s="6">
        <v>10</v>
      </c>
      <c r="D192" s="6">
        <v>105.17505710084163</v>
      </c>
      <c r="E192" s="6">
        <v>116.89921658113241</v>
      </c>
      <c r="F192" s="6">
        <v>101.44875599057129</v>
      </c>
      <c r="G192" s="3">
        <v>177.71</v>
      </c>
      <c r="H192" s="11">
        <v>181.5658524196779</v>
      </c>
      <c r="I192" s="11">
        <v>75.835269609806915</v>
      </c>
      <c r="J192" s="11">
        <v>51.246627866356867</v>
      </c>
      <c r="K192" s="2"/>
      <c r="L192" s="2"/>
      <c r="M192" s="2"/>
      <c r="N192" s="2"/>
      <c r="O192" s="2"/>
    </row>
    <row r="193" spans="2:15" x14ac:dyDescent="0.3">
      <c r="B193" s="6">
        <v>2021</v>
      </c>
      <c r="C193" s="6">
        <v>11</v>
      </c>
      <c r="D193" s="6">
        <v>104.75266731328806</v>
      </c>
      <c r="E193" s="6">
        <v>119.04633447972139</v>
      </c>
      <c r="F193" s="6">
        <v>102.37292710375419</v>
      </c>
      <c r="G193" s="3">
        <v>194.49</v>
      </c>
      <c r="H193" s="11">
        <v>173.74288941129984</v>
      </c>
      <c r="I193" s="11">
        <v>73.725800079020161</v>
      </c>
      <c r="J193" s="11">
        <v>51.108879992097989</v>
      </c>
      <c r="K193" s="2"/>
      <c r="L193" s="2"/>
      <c r="M193" s="2"/>
      <c r="N193" s="2"/>
      <c r="O193" s="2"/>
    </row>
    <row r="194" spans="2:15" x14ac:dyDescent="0.3">
      <c r="B194" s="6">
        <v>2021</v>
      </c>
      <c r="C194" s="6">
        <v>12</v>
      </c>
      <c r="D194" s="6">
        <v>104.1988673696067</v>
      </c>
      <c r="E194" s="6">
        <v>123.22087280255271</v>
      </c>
      <c r="F194" s="6">
        <v>102.29852435388517</v>
      </c>
      <c r="G194" s="3">
        <v>216.2</v>
      </c>
      <c r="H194" s="11">
        <v>171.79503150471439</v>
      </c>
      <c r="I194" s="11">
        <v>83.261902906568992</v>
      </c>
      <c r="J194" s="11">
        <v>55.129165121171965</v>
      </c>
      <c r="K194" s="2"/>
      <c r="L194" s="2"/>
      <c r="M194" s="2"/>
      <c r="N194" s="2"/>
      <c r="O194" s="2"/>
    </row>
    <row r="195" spans="2:15" x14ac:dyDescent="0.3">
      <c r="B195" s="6">
        <v>2022</v>
      </c>
      <c r="C195" s="6">
        <v>1</v>
      </c>
      <c r="D195" s="6">
        <v>104.3490504051813</v>
      </c>
      <c r="E195" s="6">
        <v>125.713757517568</v>
      </c>
      <c r="F195" s="6">
        <v>102.31854031105102</v>
      </c>
      <c r="G195" s="3">
        <v>208.55</v>
      </c>
      <c r="H195" s="11">
        <v>176.67439909467245</v>
      </c>
      <c r="I195" s="11">
        <v>75.327891051185816</v>
      </c>
      <c r="J195" s="11">
        <v>71.357433141176955</v>
      </c>
      <c r="K195" s="2"/>
      <c r="L195" s="2"/>
      <c r="M195" s="2"/>
      <c r="N195" s="2"/>
      <c r="O195" s="2"/>
    </row>
    <row r="196" spans="2:15" x14ac:dyDescent="0.3">
      <c r="B196" s="6">
        <v>2022</v>
      </c>
      <c r="C196" s="6">
        <v>2</v>
      </c>
      <c r="D196" s="6">
        <v>104.32089108601106</v>
      </c>
      <c r="E196" s="6">
        <v>125.362016105408</v>
      </c>
      <c r="F196" s="6">
        <v>102.95662476373211</v>
      </c>
      <c r="G196" s="3">
        <v>196.44</v>
      </c>
      <c r="H196" s="11">
        <v>169.5600943488096</v>
      </c>
      <c r="I196" s="11">
        <v>77.52175746654909</v>
      </c>
      <c r="J196" s="11">
        <v>65.233836820917929</v>
      </c>
      <c r="K196" s="2"/>
      <c r="L196" s="2"/>
      <c r="M196" s="2"/>
      <c r="N196" s="2"/>
      <c r="O196" s="2"/>
    </row>
    <row r="197" spans="2:15" x14ac:dyDescent="0.3">
      <c r="B197" s="6">
        <v>2022</v>
      </c>
      <c r="C197" s="6">
        <v>3</v>
      </c>
      <c r="D197" s="6">
        <v>104.32089108601106</v>
      </c>
      <c r="E197" s="6">
        <v>124.371289162835</v>
      </c>
      <c r="F197" s="6">
        <v>103.79304915560209</v>
      </c>
      <c r="G197" s="3">
        <v>212.74</v>
      </c>
      <c r="H197" s="11">
        <v>187.88752606503957</v>
      </c>
      <c r="I197" s="11">
        <v>89.334445118253498</v>
      </c>
      <c r="J197" s="11">
        <v>91.125995849757487</v>
      </c>
      <c r="K197" s="2"/>
      <c r="L197" s="2"/>
      <c r="M197" s="2"/>
      <c r="N197" s="2"/>
      <c r="O197" s="2"/>
    </row>
    <row r="198" spans="2:15" x14ac:dyDescent="0.3">
      <c r="B198" s="6">
        <v>2022</v>
      </c>
      <c r="C198" s="6">
        <v>4</v>
      </c>
      <c r="D198" s="6">
        <v>103.67322674509558</v>
      </c>
      <c r="E198" s="6">
        <v>123.47859289550669</v>
      </c>
      <c r="F198" s="6">
        <v>104.02474902340074</v>
      </c>
      <c r="G198" s="3">
        <v>191.51</v>
      </c>
      <c r="H198" s="11">
        <v>164.49649785807912</v>
      </c>
      <c r="I198" s="11">
        <v>87.586594270735816</v>
      </c>
      <c r="J198" s="11">
        <v>79.423769290395128</v>
      </c>
      <c r="K198" s="2"/>
      <c r="L198" s="2"/>
      <c r="M198" s="2"/>
      <c r="N198" s="2"/>
      <c r="O198" s="2"/>
    </row>
    <row r="199" spans="2:15" x14ac:dyDescent="0.3">
      <c r="B199" s="6">
        <v>2022</v>
      </c>
      <c r="C199" s="6">
        <v>5</v>
      </c>
      <c r="D199" s="6">
        <v>104.09561653264916</v>
      </c>
      <c r="E199" s="6">
        <v>123.29534065683509</v>
      </c>
      <c r="F199" s="6">
        <v>104.08894161330133</v>
      </c>
      <c r="G199" s="3">
        <v>186.27</v>
      </c>
      <c r="H199" s="11">
        <v>176.42913708471298</v>
      </c>
      <c r="I199" s="11">
        <v>98.962014955913531</v>
      </c>
      <c r="J199" s="11">
        <v>84.85942291379888</v>
      </c>
      <c r="K199" s="2"/>
      <c r="L199" s="2"/>
      <c r="M199" s="2"/>
      <c r="N199" s="2"/>
      <c r="O199" s="2"/>
    </row>
    <row r="200" spans="2:15" x14ac:dyDescent="0.3">
      <c r="B200" s="6">
        <v>2022</v>
      </c>
      <c r="C200" s="6">
        <v>6</v>
      </c>
      <c r="D200" s="6">
        <v>105.01548762554361</v>
      </c>
      <c r="E200" s="6">
        <v>119.5332323638352</v>
      </c>
      <c r="F200" s="6">
        <v>103.94387646919529</v>
      </c>
      <c r="G200" s="3">
        <v>188.23</v>
      </c>
      <c r="H200" s="11">
        <v>182.84066311678703</v>
      </c>
      <c r="I200" s="11">
        <v>97.612437534702948</v>
      </c>
      <c r="J200" s="11">
        <v>84.029857693873737</v>
      </c>
      <c r="K200" s="2"/>
      <c r="L200" s="2"/>
      <c r="M200" s="2"/>
      <c r="N200" s="2"/>
      <c r="O200" s="2"/>
    </row>
    <row r="201" spans="2:15" x14ac:dyDescent="0.3">
      <c r="B201" s="6">
        <v>2022</v>
      </c>
      <c r="C201" s="6">
        <v>7</v>
      </c>
      <c r="D201" s="6">
        <v>103.86095553956383</v>
      </c>
      <c r="E201" s="6">
        <v>117.4517549088152</v>
      </c>
      <c r="F201" s="6">
        <v>104.1744643393736</v>
      </c>
      <c r="G201" s="3">
        <v>211.99</v>
      </c>
      <c r="H201" s="11">
        <v>174.91659400935134</v>
      </c>
      <c r="I201" s="11">
        <v>100.23378141437756</v>
      </c>
      <c r="J201" s="11">
        <v>70.205620262273499</v>
      </c>
      <c r="K201" s="2"/>
      <c r="L201" s="2"/>
      <c r="M201" s="2"/>
      <c r="N201" s="2"/>
      <c r="O201" s="2"/>
    </row>
    <row r="202" spans="2:15" x14ac:dyDescent="0.3">
      <c r="B202" s="6">
        <v>2022</v>
      </c>
      <c r="C202" s="6">
        <v>8</v>
      </c>
      <c r="D202" s="6">
        <v>103.16635900003128</v>
      </c>
      <c r="E202" s="6">
        <v>115.2549692833632</v>
      </c>
      <c r="F202" s="6">
        <v>104.29557098929628</v>
      </c>
      <c r="G202" s="3">
        <v>214.39</v>
      </c>
      <c r="H202" s="11">
        <v>184.86885489280027</v>
      </c>
      <c r="I202" s="11">
        <v>108.53976531942632</v>
      </c>
      <c r="J202" s="11">
        <v>65.976501575402011</v>
      </c>
      <c r="K202" s="2"/>
      <c r="L202" s="2"/>
      <c r="M202" s="2"/>
      <c r="N202" s="2"/>
      <c r="O202" s="2"/>
    </row>
    <row r="203" spans="2:15" x14ac:dyDescent="0.3">
      <c r="B203" s="6">
        <v>2022</v>
      </c>
      <c r="C203" s="6">
        <v>9</v>
      </c>
      <c r="D203" s="6">
        <v>103.60752166703168</v>
      </c>
      <c r="E203" s="6">
        <v>116.1189652835871</v>
      </c>
      <c r="F203" s="6">
        <v>104.66182256915427</v>
      </c>
      <c r="G203" s="3">
        <v>187.12</v>
      </c>
      <c r="H203" s="11">
        <v>166.13348801708221</v>
      </c>
      <c r="I203" s="11">
        <v>104.26694654554667</v>
      </c>
      <c r="J203" s="11">
        <v>47.592248409395275</v>
      </c>
      <c r="K203" s="2"/>
      <c r="L203" s="2"/>
      <c r="M203" s="2"/>
      <c r="N203" s="2"/>
      <c r="O203" s="2"/>
    </row>
    <row r="204" spans="2:15" x14ac:dyDescent="0.3">
      <c r="B204" s="6">
        <v>2022</v>
      </c>
      <c r="C204" s="6">
        <v>10</v>
      </c>
      <c r="D204" s="6">
        <v>102.93169800694595</v>
      </c>
      <c r="E204" s="6">
        <v>120.4533873402915</v>
      </c>
      <c r="F204" s="6">
        <v>104.57245839675723</v>
      </c>
      <c r="G204" s="3">
        <v>183.77</v>
      </c>
      <c r="H204" s="11">
        <v>157.52250501464403</v>
      </c>
      <c r="I204" s="11">
        <v>114.25816129723549</v>
      </c>
      <c r="J204" s="11">
        <v>48.440529944996065</v>
      </c>
      <c r="K204" s="2"/>
      <c r="L204" s="2"/>
      <c r="M204" s="2"/>
      <c r="N204" s="2"/>
      <c r="O204" s="2"/>
    </row>
    <row r="205" spans="2:15" x14ac:dyDescent="0.3">
      <c r="B205" s="6">
        <v>2022</v>
      </c>
      <c r="C205" s="6">
        <v>11</v>
      </c>
      <c r="D205" s="6">
        <v>102.65010481524357</v>
      </c>
      <c r="E205" s="6">
        <v>115.4420056986791</v>
      </c>
      <c r="F205" s="6">
        <v>104.23036749246813</v>
      </c>
      <c r="G205" s="3">
        <v>202.72</v>
      </c>
      <c r="H205" s="11">
        <v>159.00909385575943</v>
      </c>
      <c r="I205" s="11">
        <v>109.79460073078151</v>
      </c>
      <c r="J205" s="11">
        <v>43.449618599453686</v>
      </c>
      <c r="K205" s="2"/>
      <c r="L205" s="2"/>
      <c r="M205" s="2"/>
      <c r="N205" s="2"/>
      <c r="O205" s="2"/>
    </row>
    <row r="206" spans="2:15" x14ac:dyDescent="0.3">
      <c r="B206" s="6">
        <v>2022</v>
      </c>
      <c r="C206" s="6">
        <v>12</v>
      </c>
      <c r="D206" s="6">
        <v>101.25152529645504</v>
      </c>
      <c r="E206" s="6">
        <v>116.60047856071991</v>
      </c>
      <c r="F206" s="6">
        <v>102.93721535072279</v>
      </c>
      <c r="G206" s="3">
        <v>216.11</v>
      </c>
      <c r="H206" s="11">
        <v>146.33643500104742</v>
      </c>
      <c r="I206" s="11">
        <v>117.69429509112493</v>
      </c>
      <c r="J206" s="11">
        <v>50.898132092730961</v>
      </c>
      <c r="K206" s="2"/>
      <c r="L206" s="2"/>
      <c r="M206" s="2"/>
      <c r="N206" s="2"/>
      <c r="O206" s="2"/>
    </row>
    <row r="207" spans="2:15" x14ac:dyDescent="0.3">
      <c r="B207" s="6">
        <v>2023</v>
      </c>
      <c r="C207" s="6">
        <v>1</v>
      </c>
      <c r="D207" s="6">
        <v>101.86164387847688</v>
      </c>
      <c r="E207" s="6">
        <v>137.11941585109929</v>
      </c>
      <c r="F207" s="6">
        <v>103.86826063101319</v>
      </c>
      <c r="G207" s="3">
        <v>211.06</v>
      </c>
      <c r="H207" s="11">
        <v>167.38155908266486</v>
      </c>
      <c r="I207" s="11">
        <v>110.56853854203</v>
      </c>
      <c r="J207" s="11">
        <v>62.993255106383003</v>
      </c>
      <c r="K207" s="2"/>
      <c r="L207" s="2"/>
      <c r="M207" s="2"/>
      <c r="N207" s="2"/>
      <c r="O207" s="2"/>
    </row>
    <row r="208" spans="2:15" x14ac:dyDescent="0.3">
      <c r="B208" s="6">
        <v>2023</v>
      </c>
      <c r="C208" s="6">
        <v>2</v>
      </c>
      <c r="D208" s="6">
        <v>101.26091173617844</v>
      </c>
      <c r="E208" s="6">
        <v>132.792683632349</v>
      </c>
      <c r="F208" s="6">
        <v>103.92153542609601</v>
      </c>
      <c r="G208" s="3">
        <v>207.36</v>
      </c>
      <c r="H208" s="11">
        <v>144.41976579247046</v>
      </c>
      <c r="I208" s="11">
        <v>114.08261154629213</v>
      </c>
      <c r="J208" s="11">
        <v>67.512207602056648</v>
      </c>
      <c r="K208" s="2"/>
      <c r="L208" s="2"/>
      <c r="M208" s="2"/>
      <c r="N208" s="2"/>
      <c r="O208" s="2"/>
    </row>
    <row r="209" spans="2:15" x14ac:dyDescent="0.3">
      <c r="B209" s="6">
        <v>2023</v>
      </c>
      <c r="C209" s="6">
        <v>3</v>
      </c>
      <c r="D209" s="6">
        <v>100.91361346641219</v>
      </c>
      <c r="E209" s="6">
        <v>133.45093075919101</v>
      </c>
      <c r="F209" s="6">
        <v>103.93568812308197</v>
      </c>
      <c r="G209" s="3">
        <v>222.86</v>
      </c>
      <c r="H209" s="11">
        <v>168.72128044911415</v>
      </c>
      <c r="I209" s="11">
        <v>127.97005905782173</v>
      </c>
      <c r="J209" s="11">
        <v>85.344483388270902</v>
      </c>
      <c r="K209" s="2"/>
      <c r="L209" s="2"/>
      <c r="M209" s="2"/>
      <c r="N209" s="2"/>
      <c r="O209" s="2"/>
    </row>
    <row r="210" spans="2:15" x14ac:dyDescent="0.3">
      <c r="B210" s="6">
        <v>2023</v>
      </c>
      <c r="C210" s="6">
        <v>4</v>
      </c>
      <c r="D210" s="6">
        <v>100.96054566502924</v>
      </c>
      <c r="E210" s="6">
        <v>137.84193232487749</v>
      </c>
      <c r="F210" s="6">
        <v>104.34995778199946</v>
      </c>
      <c r="G210" s="3">
        <v>190.92</v>
      </c>
      <c r="H210" s="11">
        <v>135.47031239915222</v>
      </c>
      <c r="I210" s="11">
        <v>127.95706276493917</v>
      </c>
      <c r="J210" s="11">
        <v>75.094711376999854</v>
      </c>
      <c r="K210" s="2"/>
      <c r="L210" s="2"/>
      <c r="M210" s="2"/>
      <c r="N210" s="2"/>
      <c r="O210" s="2"/>
    </row>
    <row r="211" spans="2:15" x14ac:dyDescent="0.3">
      <c r="B211" s="6">
        <v>2023</v>
      </c>
      <c r="C211" s="6">
        <v>5</v>
      </c>
      <c r="D211" s="6">
        <v>100.55692875692249</v>
      </c>
      <c r="E211" s="6">
        <v>142.3703012104715</v>
      </c>
      <c r="F211" s="6">
        <v>104.10410521721485</v>
      </c>
      <c r="G211" s="3">
        <v>197.08</v>
      </c>
      <c r="H211" s="11">
        <v>147.90871119411366</v>
      </c>
      <c r="I211" s="11">
        <v>144.84774333877107</v>
      </c>
      <c r="J211" s="11">
        <v>84.24380161772703</v>
      </c>
      <c r="K211" s="2"/>
      <c r="L211" s="2"/>
      <c r="M211" s="2"/>
      <c r="N211" s="2"/>
      <c r="O211" s="2"/>
    </row>
    <row r="212" spans="2:15" x14ac:dyDescent="0.3">
      <c r="B212" s="6">
        <v>2023</v>
      </c>
      <c r="C212" s="6">
        <v>6</v>
      </c>
      <c r="D212" s="6">
        <v>99.965583054347476</v>
      </c>
      <c r="E212" s="6">
        <v>137.916497857145</v>
      </c>
      <c r="F212" s="6">
        <v>103.49756106067389</v>
      </c>
      <c r="G212" s="3">
        <v>185.53</v>
      </c>
      <c r="H212" s="11">
        <v>158.28328380736468</v>
      </c>
      <c r="I212" s="11">
        <v>132.80776228016978</v>
      </c>
      <c r="J212" s="11">
        <v>66.937040462233014</v>
      </c>
      <c r="K212" s="2"/>
      <c r="L212" s="2"/>
      <c r="M212" s="2"/>
      <c r="N212" s="2"/>
      <c r="O212" s="2"/>
    </row>
    <row r="213" spans="2:15" x14ac:dyDescent="0.3">
      <c r="B213" s="6">
        <v>2023</v>
      </c>
      <c r="C213" s="6">
        <v>7</v>
      </c>
      <c r="D213" s="6">
        <v>100.46306435968836</v>
      </c>
      <c r="E213" s="6">
        <v>140.99525002798691</v>
      </c>
      <c r="F213" s="6">
        <v>104.19640101970182</v>
      </c>
      <c r="G213" s="3">
        <v>222.39</v>
      </c>
      <c r="H213" s="11">
        <v>155.83359350285352</v>
      </c>
      <c r="I213" s="11">
        <v>138.0812481004964</v>
      </c>
      <c r="J213" s="11">
        <v>67.790894850234722</v>
      </c>
      <c r="K213" s="2"/>
      <c r="L213" s="2"/>
      <c r="M213" s="2"/>
      <c r="N213" s="2"/>
      <c r="O213" s="2"/>
    </row>
    <row r="214" spans="2:15" x14ac:dyDescent="0.3">
      <c r="B214" s="6">
        <v>2023</v>
      </c>
      <c r="C214" s="6">
        <v>8</v>
      </c>
      <c r="D214" s="6">
        <v>100.8666812677951</v>
      </c>
      <c r="E214" s="6">
        <v>143.19420286675691</v>
      </c>
      <c r="F214" s="6">
        <v>104.21955078834314</v>
      </c>
      <c r="G214" s="3">
        <v>219.01</v>
      </c>
      <c r="H214" s="11">
        <v>159.94677555525604</v>
      </c>
      <c r="I214" s="11">
        <v>138.11465740959187</v>
      </c>
      <c r="J214" s="11">
        <v>62.326584537090127</v>
      </c>
      <c r="K214" s="2"/>
      <c r="L214" s="2"/>
      <c r="M214" s="2"/>
      <c r="N214" s="2"/>
      <c r="O214" s="2"/>
    </row>
    <row r="215" spans="2:15" x14ac:dyDescent="0.3">
      <c r="B215" s="6">
        <v>2023</v>
      </c>
      <c r="C215" s="6">
        <v>9</v>
      </c>
      <c r="D215" s="6">
        <v>101.51434560871061</v>
      </c>
      <c r="E215" s="6">
        <v>139.47579460056539</v>
      </c>
      <c r="F215" s="6">
        <v>104.43487396391518</v>
      </c>
      <c r="G215" s="3">
        <v>196.57</v>
      </c>
      <c r="H215" s="11">
        <v>139.16397308614458</v>
      </c>
      <c r="I215" s="11">
        <v>135.00827339344207</v>
      </c>
      <c r="J215" s="11">
        <v>54.480333904028655</v>
      </c>
      <c r="K215" s="2"/>
      <c r="L215" s="2"/>
      <c r="M215" s="2"/>
      <c r="N215" s="2"/>
      <c r="O215" s="2"/>
    </row>
    <row r="216" spans="2:15" x14ac:dyDescent="0.3">
      <c r="B216" s="6">
        <v>2023</v>
      </c>
      <c r="C216" s="6">
        <v>10</v>
      </c>
      <c r="D216" s="6">
        <v>101.45802697037013</v>
      </c>
      <c r="E216" s="6">
        <v>141.70341451574151</v>
      </c>
      <c r="F216" s="6">
        <v>103.69691190679036</v>
      </c>
      <c r="G216" s="3">
        <v>191.54</v>
      </c>
      <c r="H216" s="11">
        <v>138.05967090535395</v>
      </c>
      <c r="I216" s="11">
        <v>138.44806091849452</v>
      </c>
      <c r="J216" s="11">
        <v>56.839896512685741</v>
      </c>
      <c r="K216" s="2"/>
      <c r="L216" s="2"/>
      <c r="M216" s="2"/>
      <c r="N216" s="2"/>
      <c r="O216" s="2"/>
    </row>
    <row r="217" spans="2:15" x14ac:dyDescent="0.3">
      <c r="B217" s="6">
        <v>2023</v>
      </c>
      <c r="C217" s="6">
        <v>11</v>
      </c>
      <c r="D217" s="6">
        <v>101.33600325396576</v>
      </c>
      <c r="E217" s="6">
        <v>145.08672962241809</v>
      </c>
      <c r="F217" s="6">
        <v>104.00897887533067</v>
      </c>
      <c r="G217" s="3">
        <v>206.63</v>
      </c>
      <c r="H217" s="11">
        <v>141.21006323494854</v>
      </c>
      <c r="I217" s="11">
        <v>132.76921527148181</v>
      </c>
      <c r="J217" s="11">
        <v>53.102536932943842</v>
      </c>
      <c r="K217" s="2"/>
      <c r="L217" s="2"/>
      <c r="M217" s="2"/>
      <c r="N217" s="2"/>
      <c r="O217" s="2"/>
    </row>
    <row r="218" spans="2:15" x14ac:dyDescent="0.3">
      <c r="B218" s="6">
        <v>2023</v>
      </c>
      <c r="C218" s="6">
        <v>12</v>
      </c>
      <c r="D218" s="6">
        <v>100.05006101185819</v>
      </c>
      <c r="E218" s="6">
        <v>149.96976502328459</v>
      </c>
      <c r="F218" s="6">
        <v>103.75028779256596</v>
      </c>
      <c r="G218" s="3">
        <v>209.35</v>
      </c>
      <c r="H218" s="11">
        <v>119.10502989056771</v>
      </c>
      <c r="I218" s="11">
        <v>138.95592951367078</v>
      </c>
      <c r="J218" s="11">
        <v>48.503527619268027</v>
      </c>
      <c r="K218" s="2"/>
      <c r="L218" s="2"/>
      <c r="M218" s="2"/>
      <c r="N218" s="2"/>
      <c r="O218" s="2"/>
    </row>
    <row r="219" spans="2:15" x14ac:dyDescent="0.3">
      <c r="M219" s="3"/>
      <c r="O219" s="4"/>
    </row>
    <row r="220" spans="2:15" x14ac:dyDescent="0.3">
      <c r="M220" s="3"/>
      <c r="O220" s="4"/>
    </row>
    <row r="221" spans="2:15" x14ac:dyDescent="0.3">
      <c r="M221" s="3"/>
      <c r="O221" s="4"/>
    </row>
    <row r="222" spans="2:15" x14ac:dyDescent="0.3">
      <c r="M222" s="3"/>
      <c r="O222" s="4"/>
    </row>
    <row r="223" spans="2:15" x14ac:dyDescent="0.3">
      <c r="M223" s="3"/>
      <c r="O223" s="4"/>
    </row>
    <row r="224" spans="2:15" x14ac:dyDescent="0.3">
      <c r="M224" s="3"/>
      <c r="O224" s="4"/>
    </row>
    <row r="225" spans="13:15" x14ac:dyDescent="0.3">
      <c r="M225" s="3"/>
      <c r="O225" s="4"/>
    </row>
    <row r="226" spans="13:15" x14ac:dyDescent="0.3">
      <c r="M226" s="3"/>
      <c r="O226" s="4"/>
    </row>
    <row r="227" spans="13:15" x14ac:dyDescent="0.3">
      <c r="M227" s="3"/>
      <c r="O227" s="4"/>
    </row>
    <row r="228" spans="13:15" x14ac:dyDescent="0.3">
      <c r="M228" s="3"/>
      <c r="O228" s="4"/>
    </row>
    <row r="229" spans="13:15" x14ac:dyDescent="0.3">
      <c r="M229" s="3"/>
      <c r="O229" s="4"/>
    </row>
    <row r="230" spans="13:15" x14ac:dyDescent="0.3">
      <c r="M230" s="3"/>
      <c r="O230" s="4"/>
    </row>
    <row r="231" spans="13:15" x14ac:dyDescent="0.3">
      <c r="M231" s="3"/>
      <c r="O231" s="4"/>
    </row>
    <row r="232" spans="13:15" x14ac:dyDescent="0.3">
      <c r="M232" s="3"/>
      <c r="O232" s="4"/>
    </row>
    <row r="233" spans="13:15" x14ac:dyDescent="0.3">
      <c r="O233" s="4"/>
    </row>
    <row r="234" spans="13:15" x14ac:dyDescent="0.3">
      <c r="O234" s="4"/>
    </row>
    <row r="235" spans="13:15" x14ac:dyDescent="0.3">
      <c r="O235" s="4"/>
    </row>
    <row r="236" spans="13:15" x14ac:dyDescent="0.3">
      <c r="O236" s="4"/>
    </row>
    <row r="237" spans="13:15" x14ac:dyDescent="0.3">
      <c r="O237" s="4"/>
    </row>
    <row r="238" spans="13:15" x14ac:dyDescent="0.3">
      <c r="O238" s="4"/>
    </row>
    <row r="239" spans="13:15" x14ac:dyDescent="0.3">
      <c r="O239" s="4"/>
    </row>
    <row r="240" spans="13:15" x14ac:dyDescent="0.3">
      <c r="O240" s="4"/>
    </row>
    <row r="241" spans="15:15" x14ac:dyDescent="0.3">
      <c r="O241" s="4"/>
    </row>
    <row r="242" spans="15:15" x14ac:dyDescent="0.3">
      <c r="O242" s="4"/>
    </row>
  </sheetData>
  <hyperlinks>
    <hyperlink ref="E2" r:id="rId1" xr:uid="{CEC160E3-E494-4DCA-9F71-F8F4958B9A8F}"/>
    <hyperlink ref="D2" r:id="rId2" xr:uid="{34427E1F-7CC9-4027-A7C5-105214FBECFB}"/>
    <hyperlink ref="F2" r:id="rId3" xr:uid="{F1159314-42D1-431F-8488-A69625E01101}"/>
    <hyperlink ref="G2" r:id="rId4" display="imae manufactura" xr:uid="{DF553D01-2BC5-4A77-941C-04235441778C}"/>
    <hyperlink ref="I2" r:id="rId5" xr:uid="{3F7E3387-86D7-45FE-82F8-7B0D4E1A6F69}"/>
    <hyperlink ref="J2" r:id="rId6" display="exportaciones _naturales_reales" xr:uid="{44AA48DB-4489-40D8-BE79-C536A99971D3}"/>
  </hyperlinks>
  <pageMargins left="0.7" right="0.7" top="0.75" bottom="0.75" header="0.3" footer="0.3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6725-9A3A-4F91-8271-0EB26132F898}">
  <dimension ref="B2:BG218"/>
  <sheetViews>
    <sheetView topLeftCell="X48" workbookViewId="0">
      <selection activeCell="Z3" sqref="Z3:Z74"/>
    </sheetView>
  </sheetViews>
  <sheetFormatPr baseColWidth="10" defaultRowHeight="14.4" x14ac:dyDescent="0.3"/>
  <cols>
    <col min="6" max="6" width="39.77734375" bestFit="1" customWidth="1"/>
    <col min="8" max="8" width="30.6640625" bestFit="1" customWidth="1"/>
    <col min="9" max="9" width="39.77734375" customWidth="1"/>
    <col min="10" max="10" width="13.6640625" bestFit="1" customWidth="1"/>
    <col min="11" max="11" width="27.33203125" bestFit="1" customWidth="1"/>
    <col min="12" max="12" width="32.88671875" bestFit="1" customWidth="1"/>
    <col min="13" max="13" width="16.21875" bestFit="1" customWidth="1"/>
    <col min="14" max="14" width="29.77734375" bestFit="1" customWidth="1"/>
    <col min="15" max="15" width="15.77734375" bestFit="1" customWidth="1"/>
    <col min="17" max="17" width="11.5546875" style="5"/>
    <col min="19" max="19" width="19.109375" bestFit="1" customWidth="1"/>
    <col min="20" max="20" width="16.44140625" bestFit="1" customWidth="1"/>
    <col min="21" max="21" width="25.77734375" bestFit="1" customWidth="1"/>
    <col min="23" max="23" width="16.77734375" customWidth="1"/>
    <col min="26" max="26" width="14.109375" style="5" bestFit="1" customWidth="1"/>
    <col min="27" max="27" width="14.6640625" bestFit="1" customWidth="1"/>
    <col min="30" max="30" width="29.5546875" bestFit="1" customWidth="1"/>
    <col min="31" max="31" width="16.5546875" bestFit="1" customWidth="1"/>
    <col min="32" max="32" width="27.33203125" bestFit="1" customWidth="1"/>
    <col min="33" max="33" width="20.77734375" bestFit="1" customWidth="1"/>
    <col min="34" max="34" width="38.44140625" bestFit="1" customWidth="1"/>
  </cols>
  <sheetData>
    <row r="2" spans="2:59" x14ac:dyDescent="0.3">
      <c r="B2" t="s">
        <v>2</v>
      </c>
      <c r="C2" t="s">
        <v>36</v>
      </c>
      <c r="D2" t="s">
        <v>37</v>
      </c>
      <c r="E2" s="1" t="s">
        <v>35</v>
      </c>
      <c r="F2" s="1" t="s">
        <v>38</v>
      </c>
      <c r="G2" s="6" t="s">
        <v>51</v>
      </c>
      <c r="H2" s="5" t="s">
        <v>39</v>
      </c>
      <c r="I2" s="8" t="s">
        <v>21</v>
      </c>
      <c r="J2" s="18" t="s">
        <v>9</v>
      </c>
      <c r="K2" s="18" t="s">
        <v>26</v>
      </c>
      <c r="L2" s="8" t="s">
        <v>27</v>
      </c>
      <c r="M2" s="18" t="s">
        <v>28</v>
      </c>
      <c r="N2" s="18" t="s">
        <v>29</v>
      </c>
      <c r="O2" s="18" t="s">
        <v>41</v>
      </c>
      <c r="P2" s="18" t="s">
        <v>42</v>
      </c>
      <c r="Q2" s="18" t="s">
        <v>50</v>
      </c>
      <c r="R2" s="18" t="s">
        <v>43</v>
      </c>
      <c r="S2" s="18" t="s">
        <v>44</v>
      </c>
      <c r="T2" s="18" t="s">
        <v>45</v>
      </c>
      <c r="U2" s="18" t="s">
        <v>46</v>
      </c>
      <c r="V2" s="18" t="s">
        <v>47</v>
      </c>
      <c r="W2" s="18" t="s">
        <v>48</v>
      </c>
      <c r="X2" s="18" t="s">
        <v>49</v>
      </c>
      <c r="Y2" s="18" t="s">
        <v>40</v>
      </c>
      <c r="Z2" s="18" t="s">
        <v>65</v>
      </c>
      <c r="AA2" s="18" t="s">
        <v>54</v>
      </c>
      <c r="AB2" s="18" t="s">
        <v>56</v>
      </c>
      <c r="AC2" s="5" t="s">
        <v>57</v>
      </c>
      <c r="AD2" s="5" t="s">
        <v>58</v>
      </c>
      <c r="AE2" s="5" t="s">
        <v>59</v>
      </c>
      <c r="AF2" s="5" t="s">
        <v>60</v>
      </c>
      <c r="AG2" s="5" t="s">
        <v>61</v>
      </c>
      <c r="AH2" s="5" t="s">
        <v>63</v>
      </c>
      <c r="AI2" t="s">
        <v>55</v>
      </c>
      <c r="AJ2" t="s">
        <v>64</v>
      </c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</row>
    <row r="3" spans="2:59" x14ac:dyDescent="0.3">
      <c r="B3" s="6">
        <v>2006</v>
      </c>
      <c r="C3" s="5" t="s">
        <v>31</v>
      </c>
      <c r="D3">
        <v>92.566666666666663</v>
      </c>
      <c r="E3" s="6">
        <v>28404.824709633584</v>
      </c>
      <c r="F3">
        <v>17.296666666666667</v>
      </c>
      <c r="G3" s="5">
        <f>E3/F3</f>
        <v>1642.2138009038495</v>
      </c>
      <c r="H3" s="6">
        <f t="shared" ref="H3:H34" si="0">(G3/D3)*100</f>
        <v>1774.0876495180223</v>
      </c>
      <c r="I3" s="5">
        <v>112.74760239892338</v>
      </c>
      <c r="J3" s="5">
        <v>62.510040283964905</v>
      </c>
      <c r="K3" s="5">
        <v>51.716462867526054</v>
      </c>
      <c r="L3" s="6">
        <f t="shared" ref="L3:L34" si="1">(I3/H3)*100</f>
        <v>6.3552441971823788</v>
      </c>
      <c r="M3" s="6">
        <f t="shared" ref="M3:M34" si="2">(J3/H3)*100</f>
        <v>3.5235034921159278</v>
      </c>
      <c r="N3" s="6">
        <f t="shared" ref="N3:N34" si="3">(K3/H3)*100</f>
        <v>2.9151019050031826</v>
      </c>
      <c r="O3" s="5">
        <v>1296.2699102682695</v>
      </c>
      <c r="P3" s="5">
        <v>311.09665849990319</v>
      </c>
      <c r="Q3" s="5">
        <v>138.17644890102503</v>
      </c>
      <c r="R3" s="5">
        <v>2908.2347471154649</v>
      </c>
      <c r="S3" s="5">
        <v>824.16922005103345</v>
      </c>
      <c r="T3" s="5">
        <v>2366.2531592039804</v>
      </c>
      <c r="U3" s="5">
        <v>1489.2956596839176</v>
      </c>
      <c r="V3" s="5">
        <v>1351.6650772119108</v>
      </c>
      <c r="W3" s="5">
        <v>657.21068274658705</v>
      </c>
      <c r="X3" s="5">
        <v>2394.8487511016251</v>
      </c>
      <c r="Y3">
        <f>SUM(O3:X3)</f>
        <v>13737.220314783715</v>
      </c>
      <c r="Z3" s="5">
        <f>(Y3/AA3)*100</f>
        <v>48.362278183562275</v>
      </c>
      <c r="AA3" s="5">
        <v>28404.824649995135</v>
      </c>
      <c r="AB3" s="5">
        <v>2136.8712158462786</v>
      </c>
      <c r="AC3" s="5">
        <v>1819.1618444470644</v>
      </c>
      <c r="AD3" s="5">
        <v>386.42657748212406</v>
      </c>
      <c r="AE3" s="5">
        <v>170.80502332938875</v>
      </c>
      <c r="AF3" s="5">
        <v>217.24650978209985</v>
      </c>
      <c r="AG3" s="5">
        <v>4086.4627482128521</v>
      </c>
      <c r="AH3" s="5">
        <v>1330.2847057591755</v>
      </c>
      <c r="AI3">
        <f t="shared" ref="AI3:AI34" si="4">SUM(AB3:AH3)</f>
        <v>10147.258624858983</v>
      </c>
      <c r="AJ3" s="20">
        <f>(AI3/AA3)*100</f>
        <v>35.723715072681223</v>
      </c>
      <c r="AL3">
        <f>SUM(O3:X3)+SUM(AB3:AH3)</f>
        <v>23884.4789396427</v>
      </c>
      <c r="AM3">
        <f>AA3</f>
        <v>28404.824649995135</v>
      </c>
      <c r="AN3">
        <f>AM3-AL3</f>
        <v>4520.3457103524343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 spans="2:59" x14ac:dyDescent="0.3">
      <c r="B4" s="6">
        <v>2006</v>
      </c>
      <c r="C4" s="5" t="s">
        <v>32</v>
      </c>
      <c r="D4">
        <v>95.40666666666668</v>
      </c>
      <c r="E4" s="6">
        <v>28595.584876007139</v>
      </c>
      <c r="F4" s="5">
        <v>17.5</v>
      </c>
      <c r="G4" s="5">
        <f t="shared" ref="G4:G67" si="5">E4/F4</f>
        <v>1634.0334214861223</v>
      </c>
      <c r="H4" s="6">
        <f>(G4/D4)*100</f>
        <v>1712.703607175727</v>
      </c>
      <c r="I4" s="5">
        <v>120.74506760060383</v>
      </c>
      <c r="J4" s="5">
        <v>58.870891088412009</v>
      </c>
      <c r="K4" s="5">
        <v>55.883592592921623</v>
      </c>
      <c r="L4" s="6">
        <f t="shared" si="1"/>
        <v>7.0499686632711764</v>
      </c>
      <c r="M4" s="6">
        <f t="shared" si="2"/>
        <v>3.4373075902777455</v>
      </c>
      <c r="N4" s="6">
        <f t="shared" si="3"/>
        <v>3.262887539839685</v>
      </c>
      <c r="O4" s="5">
        <v>1412.2149499775624</v>
      </c>
      <c r="P4" s="5">
        <v>329.65231736484844</v>
      </c>
      <c r="Q4" s="5">
        <v>145.59045189612789</v>
      </c>
      <c r="R4" s="5">
        <v>3166.3886611951243</v>
      </c>
      <c r="S4" s="5">
        <v>797.68375172165599</v>
      </c>
      <c r="T4" s="5">
        <v>2439.0152986665817</v>
      </c>
      <c r="U4" s="5">
        <v>1500.6949929617442</v>
      </c>
      <c r="V4" s="5">
        <v>1325.5724766969729</v>
      </c>
      <c r="W4" s="5">
        <v>676.78815571144571</v>
      </c>
      <c r="X4" s="5">
        <v>2574.3944235137683</v>
      </c>
      <c r="Y4" s="5">
        <f t="shared" ref="Y4:Y67" si="6">SUM(O4:X4)</f>
        <v>14367.995479705831</v>
      </c>
      <c r="Z4" s="5">
        <f t="shared" ref="Z4:Z67" si="7">(Y4/AA4)*100</f>
        <v>50.245503118084699</v>
      </c>
      <c r="AA4" s="5">
        <v>28595.58485450692</v>
      </c>
      <c r="AB4" s="5">
        <v>2073.7849251322982</v>
      </c>
      <c r="AC4" s="5">
        <v>1739.4849066191193</v>
      </c>
      <c r="AD4" s="5">
        <v>347.77788211840431</v>
      </c>
      <c r="AE4" s="5">
        <v>97.735861146235607</v>
      </c>
      <c r="AF4" s="5">
        <v>289.96604216994234</v>
      </c>
      <c r="AG4" s="5">
        <v>3656.8106066195101</v>
      </c>
      <c r="AH4" s="5">
        <v>1438.526737750683</v>
      </c>
      <c r="AI4" s="5">
        <f t="shared" si="4"/>
        <v>9644.0869615561933</v>
      </c>
      <c r="AJ4" s="20">
        <f t="shared" ref="AJ4:AJ67" si="8">(AI4/AA4)*100</f>
        <v>33.725790224696865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</row>
    <row r="5" spans="2:59" x14ac:dyDescent="0.3">
      <c r="B5" s="6">
        <v>2006</v>
      </c>
      <c r="C5" s="5" t="s">
        <v>33</v>
      </c>
      <c r="D5">
        <v>96.403333333333322</v>
      </c>
      <c r="E5" s="6">
        <v>29737.126967009517</v>
      </c>
      <c r="F5" s="5">
        <v>17.7</v>
      </c>
      <c r="G5" s="5">
        <f t="shared" si="5"/>
        <v>1680.0636704525152</v>
      </c>
      <c r="H5" s="6">
        <f t="shared" si="0"/>
        <v>1742.7443765283172</v>
      </c>
      <c r="I5" s="5">
        <v>129.34971828998519</v>
      </c>
      <c r="J5" s="5">
        <v>61.758533029997629</v>
      </c>
      <c r="K5" s="5">
        <v>47.838354668487462</v>
      </c>
      <c r="L5" s="6">
        <f t="shared" si="1"/>
        <v>7.4221853779646061</v>
      </c>
      <c r="M5" s="6">
        <f t="shared" si="2"/>
        <v>3.5437516747594073</v>
      </c>
      <c r="N5" s="6">
        <f t="shared" si="3"/>
        <v>2.7450012355676163</v>
      </c>
      <c r="O5" s="5">
        <v>1446.3094047469069</v>
      </c>
      <c r="P5" s="5">
        <v>305.07361274889553</v>
      </c>
      <c r="Q5" s="5">
        <v>135.2770030287717</v>
      </c>
      <c r="R5" s="5">
        <v>3181.3326759777551</v>
      </c>
      <c r="S5" s="5">
        <v>882.56705949050672</v>
      </c>
      <c r="T5" s="5">
        <v>2490.4172507254225</v>
      </c>
      <c r="U5" s="5">
        <v>1497.8759222092549</v>
      </c>
      <c r="V5" s="5">
        <v>1330.2066788045272</v>
      </c>
      <c r="W5" s="5">
        <v>724.42592238391489</v>
      </c>
      <c r="X5" s="5">
        <v>2656.5151665806452</v>
      </c>
      <c r="Y5" s="5">
        <f t="shared" si="6"/>
        <v>14650.000696696599</v>
      </c>
      <c r="Z5" s="5">
        <f t="shared" si="7"/>
        <v>49.265017075083648</v>
      </c>
      <c r="AA5" s="5">
        <v>29737.127005089391</v>
      </c>
      <c r="AB5" s="5">
        <v>2391.6014498534969</v>
      </c>
      <c r="AC5" s="5">
        <v>1723.1157832654387</v>
      </c>
      <c r="AD5" s="5">
        <v>343.91226474669418</v>
      </c>
      <c r="AE5" s="5">
        <v>282.9493955258734</v>
      </c>
      <c r="AF5" s="5">
        <v>273.87428750658131</v>
      </c>
      <c r="AG5" s="5">
        <v>4056.1305129198113</v>
      </c>
      <c r="AH5" s="5">
        <v>1494.2630689043697</v>
      </c>
      <c r="AI5" s="5">
        <f t="shared" si="4"/>
        <v>10565.846762722264</v>
      </c>
      <c r="AJ5" s="20">
        <f t="shared" si="8"/>
        <v>35.530825694472639</v>
      </c>
      <c r="AS5" t="s">
        <v>57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</row>
    <row r="6" spans="2:59" x14ac:dyDescent="0.3">
      <c r="B6" s="6">
        <v>2006</v>
      </c>
      <c r="C6" s="5" t="s">
        <v>34</v>
      </c>
      <c r="D6">
        <v>97.64</v>
      </c>
      <c r="E6" s="5">
        <v>32100.173653515732</v>
      </c>
      <c r="F6" s="5">
        <v>17.91</v>
      </c>
      <c r="G6" s="5">
        <f t="shared" si="5"/>
        <v>1792.3045032672101</v>
      </c>
      <c r="H6" s="6">
        <f t="shared" si="0"/>
        <v>1835.6252593887853</v>
      </c>
      <c r="I6" s="5">
        <v>137.33987484630597</v>
      </c>
      <c r="J6" s="5">
        <v>60.348981098722582</v>
      </c>
      <c r="K6" s="5">
        <v>44.462434121765945</v>
      </c>
      <c r="L6" s="6">
        <f t="shared" si="1"/>
        <v>7.4819124515663136</v>
      </c>
      <c r="M6" s="6">
        <f t="shared" si="2"/>
        <v>3.2876525745138849</v>
      </c>
      <c r="N6" s="6">
        <f t="shared" si="3"/>
        <v>2.4221955921749934</v>
      </c>
      <c r="O6" s="5">
        <v>1636.8737990109828</v>
      </c>
      <c r="P6" s="5">
        <v>277.39406983257413</v>
      </c>
      <c r="Q6" s="5">
        <v>131.90040178754435</v>
      </c>
      <c r="R6" s="5">
        <v>3547.2339531792586</v>
      </c>
      <c r="S6" s="5">
        <v>942.47830608161144</v>
      </c>
      <c r="T6" s="5">
        <v>2585.9595492850667</v>
      </c>
      <c r="U6" s="5">
        <v>1593.5630809374311</v>
      </c>
      <c r="V6" s="5">
        <v>1322.456269763208</v>
      </c>
      <c r="W6" s="5">
        <v>759.11735195344261</v>
      </c>
      <c r="X6" s="5">
        <v>2975.0244451081262</v>
      </c>
      <c r="Y6" s="5">
        <f t="shared" si="6"/>
        <v>15772.001226939246</v>
      </c>
      <c r="Z6" s="5">
        <f t="shared" si="7"/>
        <v>49.133694340397902</v>
      </c>
      <c r="AA6" s="5">
        <v>32100.173696834045</v>
      </c>
      <c r="AB6" s="5">
        <v>2893.013537579151</v>
      </c>
      <c r="AC6" s="5">
        <v>1786.1464790438431</v>
      </c>
      <c r="AD6" s="5">
        <v>362.29199220269112</v>
      </c>
      <c r="AE6" s="5">
        <v>339.7157517896328</v>
      </c>
      <c r="AF6" s="5">
        <v>308.04321979829774</v>
      </c>
      <c r="AG6" s="5">
        <v>4354.3213856142493</v>
      </c>
      <c r="AH6" s="5">
        <v>1533.6734874515478</v>
      </c>
      <c r="AI6" s="5">
        <f t="shared" si="4"/>
        <v>11577.205853479414</v>
      </c>
      <c r="AJ6" s="20">
        <f t="shared" si="8"/>
        <v>36.065866692245478</v>
      </c>
      <c r="AS6" t="s">
        <v>58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</row>
    <row r="7" spans="2:59" x14ac:dyDescent="0.3">
      <c r="B7" s="6">
        <v>2007</v>
      </c>
      <c r="C7" s="5" t="s">
        <v>31</v>
      </c>
      <c r="D7">
        <v>100.96333333333332</v>
      </c>
      <c r="E7" s="5">
        <v>32171.570052059371</v>
      </c>
      <c r="F7" s="5">
        <v>18.133333333333329</v>
      </c>
      <c r="G7" s="5">
        <f t="shared" si="5"/>
        <v>1774.1674661062157</v>
      </c>
      <c r="H7" s="6">
        <f t="shared" si="0"/>
        <v>1757.2393932842442</v>
      </c>
      <c r="I7" s="5">
        <v>138.72235084505661</v>
      </c>
      <c r="J7" s="5">
        <v>54.476652970697096</v>
      </c>
      <c r="K7" s="5">
        <v>51.64543198560127</v>
      </c>
      <c r="L7" s="6">
        <f t="shared" si="1"/>
        <v>7.8943342253321207</v>
      </c>
      <c r="M7" s="6">
        <f t="shared" si="2"/>
        <v>3.1001270048289413</v>
      </c>
      <c r="N7" s="6">
        <f t="shared" si="3"/>
        <v>2.9390094589831053</v>
      </c>
      <c r="O7" s="5">
        <v>1393.9032812981159</v>
      </c>
      <c r="P7" s="5">
        <v>283.19960029294623</v>
      </c>
      <c r="Q7" s="5">
        <v>136.92760309477652</v>
      </c>
      <c r="R7" s="5">
        <v>3504.2863526369129</v>
      </c>
      <c r="S7" s="5">
        <v>965.72744405088667</v>
      </c>
      <c r="T7" s="5">
        <v>2631.2515011414498</v>
      </c>
      <c r="U7" s="5">
        <v>1449.4195331662195</v>
      </c>
      <c r="V7" s="5">
        <v>1588.525333166262</v>
      </c>
      <c r="W7" s="5">
        <v>758.46662835829909</v>
      </c>
      <c r="X7" s="5">
        <v>2725.910405299448</v>
      </c>
      <c r="Y7" s="5">
        <f t="shared" si="6"/>
        <v>15437.617682505317</v>
      </c>
      <c r="Z7" s="5">
        <f t="shared" si="7"/>
        <v>47.985279082961206</v>
      </c>
      <c r="AA7" s="5">
        <v>32171.570068010638</v>
      </c>
      <c r="AB7" s="5">
        <v>2203.1666163445179</v>
      </c>
      <c r="AC7" s="5">
        <v>1938.2219450042717</v>
      </c>
      <c r="AD7" s="5">
        <v>391.9724279716624</v>
      </c>
      <c r="AE7" s="5">
        <v>166.71668744540304</v>
      </c>
      <c r="AF7" s="5">
        <v>399.79206423554098</v>
      </c>
      <c r="AG7" s="5">
        <v>4972.8781150963659</v>
      </c>
      <c r="AH7" s="5">
        <v>1573.3135846092575</v>
      </c>
      <c r="AI7" s="5">
        <f t="shared" si="4"/>
        <v>11646.061440707019</v>
      </c>
      <c r="AJ7" s="20">
        <f t="shared" si="8"/>
        <v>36.19985414478456</v>
      </c>
      <c r="AS7" t="s">
        <v>59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</row>
    <row r="8" spans="2:59" x14ac:dyDescent="0.3">
      <c r="B8" s="6">
        <v>2007</v>
      </c>
      <c r="C8" s="5" t="s">
        <v>32</v>
      </c>
      <c r="D8">
        <v>104.01666666666667</v>
      </c>
      <c r="E8" s="5">
        <v>32873.849516353846</v>
      </c>
      <c r="F8" s="5">
        <v>18.256666666666668</v>
      </c>
      <c r="G8" s="5">
        <f t="shared" si="5"/>
        <v>1800.6490514709062</v>
      </c>
      <c r="H8" s="6">
        <f>(G8/D8)*100</f>
        <v>1731.115896302746</v>
      </c>
      <c r="I8" s="5">
        <v>135.03768270649709</v>
      </c>
      <c r="J8" s="5">
        <v>58.032577944101547</v>
      </c>
      <c r="K8" s="5">
        <v>50.632043576361632</v>
      </c>
      <c r="L8" s="6">
        <f t="shared" si="1"/>
        <v>7.8006147938971413</v>
      </c>
      <c r="M8" s="6">
        <f t="shared" si="2"/>
        <v>3.3523219368527202</v>
      </c>
      <c r="N8" s="6">
        <f t="shared" si="3"/>
        <v>2.9248211332643699</v>
      </c>
      <c r="O8" s="5">
        <v>1654.2145524474531</v>
      </c>
      <c r="P8" s="5">
        <v>316.59251376570484</v>
      </c>
      <c r="Q8" s="5">
        <v>136.0372566028089</v>
      </c>
      <c r="R8" s="5">
        <v>3523.5288002102684</v>
      </c>
      <c r="S8" s="5">
        <v>936.43919029066546</v>
      </c>
      <c r="T8" s="5">
        <v>2746.5956895002992</v>
      </c>
      <c r="U8" s="5">
        <v>1499.1082957513386</v>
      </c>
      <c r="V8" s="5">
        <v>1521.9917009794851</v>
      </c>
      <c r="W8" s="5">
        <v>803.77462937688381</v>
      </c>
      <c r="X8" s="5">
        <v>2799.9768737361533</v>
      </c>
      <c r="Y8" s="5">
        <f t="shared" si="6"/>
        <v>15938.25950266106</v>
      </c>
      <c r="Z8" s="5">
        <f t="shared" si="7"/>
        <v>48.483094415945907</v>
      </c>
      <c r="AA8" s="5">
        <v>32873.849523554803</v>
      </c>
      <c r="AB8" s="5">
        <v>2913.3048895276365</v>
      </c>
      <c r="AC8" s="5">
        <v>1788.1574726756035</v>
      </c>
      <c r="AD8" s="5">
        <v>389.36293448470815</v>
      </c>
      <c r="AE8" s="5">
        <v>159.74525194164852</v>
      </c>
      <c r="AF8" s="5">
        <v>308.88271454330567</v>
      </c>
      <c r="AG8" s="5">
        <v>4367.1142074027466</v>
      </c>
      <c r="AH8" s="5">
        <v>1646.8812787431389</v>
      </c>
      <c r="AI8" s="5">
        <f t="shared" si="4"/>
        <v>11573.448749318788</v>
      </c>
      <c r="AJ8" s="20">
        <f t="shared" si="8"/>
        <v>35.205638880308705</v>
      </c>
      <c r="AS8" t="s">
        <v>60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</row>
    <row r="9" spans="2:59" x14ac:dyDescent="0.3">
      <c r="B9" s="6">
        <v>2007</v>
      </c>
      <c r="C9" s="5" t="s">
        <v>33</v>
      </c>
      <c r="D9">
        <v>106.42333333333333</v>
      </c>
      <c r="E9" s="6">
        <v>34136.865174395294</v>
      </c>
      <c r="F9" s="5">
        <v>18.486666666666668</v>
      </c>
      <c r="G9" s="5">
        <f t="shared" si="5"/>
        <v>1846.5668143380071</v>
      </c>
      <c r="H9" s="6">
        <f>(G9/D9)*100</f>
        <v>1735.1146186657129</v>
      </c>
      <c r="I9" s="5">
        <v>144.796032899224</v>
      </c>
      <c r="J9" s="5">
        <v>59.419608677734935</v>
      </c>
      <c r="K9" s="5">
        <v>44.578120214776106</v>
      </c>
      <c r="L9" s="6">
        <f t="shared" si="1"/>
        <v>8.3450413789131019</v>
      </c>
      <c r="M9" s="6">
        <f t="shared" si="2"/>
        <v>3.4245350732753357</v>
      </c>
      <c r="N9" s="6">
        <f t="shared" si="3"/>
        <v>2.5691743781777525</v>
      </c>
      <c r="O9" s="5">
        <v>1457.1380473113782</v>
      </c>
      <c r="P9" s="5">
        <v>314.00208886183242</v>
      </c>
      <c r="Q9" s="5">
        <v>117.79409221988392</v>
      </c>
      <c r="R9" s="5">
        <v>3768.6866619697371</v>
      </c>
      <c r="S9" s="5">
        <v>1091.4682761050731</v>
      </c>
      <c r="T9" s="5">
        <v>2704.8757608338037</v>
      </c>
      <c r="U9" s="5">
        <v>1561.434699617774</v>
      </c>
      <c r="V9" s="5">
        <v>1541.8807897341237</v>
      </c>
      <c r="W9" s="5">
        <v>882.68221754186106</v>
      </c>
      <c r="X9" s="5">
        <v>2959.9078053932608</v>
      </c>
      <c r="Y9" s="5">
        <f t="shared" si="6"/>
        <v>16399.870439588725</v>
      </c>
      <c r="Z9" s="5">
        <f t="shared" si="7"/>
        <v>48.041524494975327</v>
      </c>
      <c r="AA9" s="5">
        <v>34136.865164018665</v>
      </c>
      <c r="AB9" s="5">
        <v>3462.1799079113553</v>
      </c>
      <c r="AC9" s="5">
        <v>1777.5916617378891</v>
      </c>
      <c r="AD9" s="5">
        <v>391.9391996661351</v>
      </c>
      <c r="AE9" s="5">
        <v>317.91528741411679</v>
      </c>
      <c r="AF9" s="5">
        <v>259.06143676745455</v>
      </c>
      <c r="AG9" s="5">
        <v>4731.6462113855023</v>
      </c>
      <c r="AH9" s="5">
        <v>1762.1460764888288</v>
      </c>
      <c r="AI9" s="5">
        <f t="shared" si="4"/>
        <v>12702.479781371281</v>
      </c>
      <c r="AJ9" s="20">
        <f t="shared" si="8"/>
        <v>37.210446010022316</v>
      </c>
      <c r="AS9" t="s">
        <v>61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</row>
    <row r="10" spans="2:59" x14ac:dyDescent="0.3">
      <c r="B10" s="6">
        <v>2007</v>
      </c>
      <c r="C10" s="5" t="s">
        <v>34</v>
      </c>
      <c r="D10">
        <v>113.13</v>
      </c>
      <c r="E10" s="6">
        <v>37767.893722430264</v>
      </c>
      <c r="F10" s="5">
        <v>18.78</v>
      </c>
      <c r="G10" s="5">
        <f t="shared" si="5"/>
        <v>2011.0699532710469</v>
      </c>
      <c r="H10" s="6">
        <f t="shared" si="0"/>
        <v>1777.6628244241554</v>
      </c>
      <c r="I10" s="5">
        <v>132.43116572771169</v>
      </c>
      <c r="J10" s="5">
        <v>60.02165862319378</v>
      </c>
      <c r="K10" s="5">
        <v>40.229975924483348</v>
      </c>
      <c r="L10" s="6">
        <f t="shared" si="1"/>
        <v>7.4497347814319399</v>
      </c>
      <c r="M10" s="6">
        <f t="shared" si="2"/>
        <v>3.3764366222057216</v>
      </c>
      <c r="N10" s="6">
        <f t="shared" si="3"/>
        <v>2.2630824795199946</v>
      </c>
      <c r="O10" s="5">
        <v>1698.224791070201</v>
      </c>
      <c r="P10" s="5">
        <v>313.36486737544857</v>
      </c>
      <c r="Q10" s="5">
        <v>122.85594788801961</v>
      </c>
      <c r="R10" s="5">
        <v>4627.2976362686359</v>
      </c>
      <c r="S10" s="5">
        <v>1139.9579001952088</v>
      </c>
      <c r="T10" s="5">
        <v>2713.2008380397569</v>
      </c>
      <c r="U10" s="5">
        <v>1637.0578711809003</v>
      </c>
      <c r="V10" s="5">
        <v>1542.4463004949987</v>
      </c>
      <c r="W10" s="5">
        <v>895.49730680768073</v>
      </c>
      <c r="X10" s="5">
        <v>3468.7651265064887</v>
      </c>
      <c r="Y10" s="5">
        <f t="shared" si="6"/>
        <v>18158.668585827341</v>
      </c>
      <c r="Z10" s="5">
        <f t="shared" si="7"/>
        <v>48.079643321851499</v>
      </c>
      <c r="AA10" s="5">
        <v>37767.893709757387</v>
      </c>
      <c r="AB10" s="5">
        <v>4013.2962712186859</v>
      </c>
      <c r="AC10" s="5">
        <v>1861.0822250239933</v>
      </c>
      <c r="AD10" s="5">
        <v>454.26546440115317</v>
      </c>
      <c r="AE10" s="5">
        <v>314.9139400962452</v>
      </c>
      <c r="AF10" s="5">
        <v>314.46186012829537</v>
      </c>
      <c r="AG10" s="5">
        <v>5087.652342895356</v>
      </c>
      <c r="AH10" s="5">
        <v>1880.9016653828207</v>
      </c>
      <c r="AI10" s="5">
        <f t="shared" si="4"/>
        <v>13926.573769146549</v>
      </c>
      <c r="AJ10" s="20">
        <f t="shared" si="8"/>
        <v>36.874107611536196</v>
      </c>
      <c r="AS10" t="s">
        <v>62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</row>
    <row r="11" spans="2:59" x14ac:dyDescent="0.3">
      <c r="B11" s="6">
        <v>2008</v>
      </c>
      <c r="C11" s="5" t="s">
        <v>31</v>
      </c>
      <c r="D11">
        <v>119.32666666666667</v>
      </c>
      <c r="E11" s="5">
        <v>38482.54034812226</v>
      </c>
      <c r="F11" s="5">
        <v>18.986666666666665</v>
      </c>
      <c r="G11" s="5">
        <f t="shared" si="5"/>
        <v>2026.8191896834057</v>
      </c>
      <c r="H11" s="6">
        <f t="shared" si="0"/>
        <v>1698.5467258087649</v>
      </c>
      <c r="I11" s="5">
        <v>139.86593836282643</v>
      </c>
      <c r="J11" s="5">
        <v>54.626692484986684</v>
      </c>
      <c r="K11" s="5">
        <v>57.065759120637246</v>
      </c>
      <c r="L11" s="6">
        <f t="shared" si="1"/>
        <v>8.2344474978295992</v>
      </c>
      <c r="M11" s="6">
        <f t="shared" si="2"/>
        <v>3.2160841768410067</v>
      </c>
      <c r="N11" s="6">
        <f t="shared" si="3"/>
        <v>3.3596814414078198</v>
      </c>
      <c r="O11" s="5">
        <v>1862.0426799233492</v>
      </c>
      <c r="P11" s="5">
        <v>399.77394912908414</v>
      </c>
      <c r="Q11" s="5">
        <v>129.69746910285826</v>
      </c>
      <c r="R11" s="5">
        <v>4759.7118645910205</v>
      </c>
      <c r="S11" s="5">
        <v>1266.6877840690261</v>
      </c>
      <c r="T11" s="5">
        <v>2706.9484413817845</v>
      </c>
      <c r="U11" s="5">
        <v>1637.1521046264284</v>
      </c>
      <c r="V11" s="5">
        <v>1803.4419508582926</v>
      </c>
      <c r="W11" s="5">
        <v>908.3729725596595</v>
      </c>
      <c r="X11" s="5">
        <v>3238.3842986652553</v>
      </c>
      <c r="Y11" s="5">
        <f t="shared" si="6"/>
        <v>18712.213514906758</v>
      </c>
      <c r="Z11" s="5">
        <f t="shared" si="7"/>
        <v>48.625203399099618</v>
      </c>
      <c r="AA11" s="5">
        <v>38482.54034296389</v>
      </c>
      <c r="AB11" s="5">
        <v>2904.9036702059275</v>
      </c>
      <c r="AC11" s="5">
        <v>2253.1041994960738</v>
      </c>
      <c r="AD11" s="5">
        <v>507.21600156567615</v>
      </c>
      <c r="AE11" s="5">
        <v>145.99818638193909</v>
      </c>
      <c r="AF11" s="5">
        <v>515.296908627829</v>
      </c>
      <c r="AG11" s="5">
        <v>5805.5301977436065</v>
      </c>
      <c r="AH11" s="5">
        <v>1877.3497522139635</v>
      </c>
      <c r="AI11" s="5">
        <f t="shared" si="4"/>
        <v>14009.398916235017</v>
      </c>
      <c r="AJ11" s="20">
        <f t="shared" si="8"/>
        <v>36.404558512459232</v>
      </c>
      <c r="AS11" t="s">
        <v>63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</row>
    <row r="12" spans="2:59" x14ac:dyDescent="0.3">
      <c r="B12" s="6">
        <v>2008</v>
      </c>
      <c r="C12" s="5" t="s">
        <v>32</v>
      </c>
      <c r="D12">
        <v>126.28333333333335</v>
      </c>
      <c r="E12" s="5">
        <v>40918.808765316717</v>
      </c>
      <c r="F12" s="5">
        <v>19.209999999999997</v>
      </c>
      <c r="G12" s="5">
        <f t="shared" si="5"/>
        <v>2130.0785406203395</v>
      </c>
      <c r="H12" s="6">
        <f t="shared" si="0"/>
        <v>1686.7455778965336</v>
      </c>
      <c r="I12" s="5">
        <v>140.6582558183666</v>
      </c>
      <c r="J12" s="5">
        <v>54.952915248129273</v>
      </c>
      <c r="K12" s="5">
        <v>56.494148236353929</v>
      </c>
      <c r="L12" s="6">
        <f t="shared" si="1"/>
        <v>8.3390321374830787</v>
      </c>
      <c r="M12" s="6">
        <f t="shared" si="2"/>
        <v>3.2579255560674798</v>
      </c>
      <c r="N12" s="6">
        <f t="shared" si="3"/>
        <v>3.3492987310395268</v>
      </c>
      <c r="O12" s="5">
        <v>2264.9977565381128</v>
      </c>
      <c r="P12" s="5">
        <v>467.25608031578639</v>
      </c>
      <c r="Q12" s="5">
        <v>144.45045873580349</v>
      </c>
      <c r="R12" s="5">
        <v>5377.506598536439</v>
      </c>
      <c r="S12" s="5">
        <v>1211.6569117011466</v>
      </c>
      <c r="T12" s="5">
        <v>2747.6355122203349</v>
      </c>
      <c r="U12" s="5">
        <v>1717.0720541395499</v>
      </c>
      <c r="V12" s="5">
        <v>1759.0239946332126</v>
      </c>
      <c r="W12" s="5">
        <v>951.66913348257174</v>
      </c>
      <c r="X12" s="5">
        <v>3455.0191283553013</v>
      </c>
      <c r="Y12" s="5">
        <f t="shared" si="6"/>
        <v>20096.287628658254</v>
      </c>
      <c r="Z12" s="5">
        <f t="shared" si="7"/>
        <v>49.112592071078211</v>
      </c>
      <c r="AA12" s="5">
        <v>40918.80876410249</v>
      </c>
      <c r="AB12" s="5">
        <v>4002.2085523896262</v>
      </c>
      <c r="AC12" s="5">
        <v>2268.3608295036329</v>
      </c>
      <c r="AD12" s="5">
        <v>453.88800542527798</v>
      </c>
      <c r="AE12" s="5">
        <v>180.86570978340004</v>
      </c>
      <c r="AF12" s="5">
        <v>491.98995080565663</v>
      </c>
      <c r="AG12" s="5">
        <v>5577.2587092793274</v>
      </c>
      <c r="AH12" s="5">
        <v>1990.9963339878204</v>
      </c>
      <c r="AI12" s="5">
        <f t="shared" si="4"/>
        <v>14965.56809117474</v>
      </c>
      <c r="AJ12" s="20">
        <f t="shared" si="8"/>
        <v>36.573811758429848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</row>
    <row r="13" spans="2:59" x14ac:dyDescent="0.3">
      <c r="B13" s="6">
        <v>2008</v>
      </c>
      <c r="C13" s="5" t="s">
        <v>33</v>
      </c>
      <c r="D13">
        <v>131.37333333333333</v>
      </c>
      <c r="E13" s="5">
        <v>42587.054807348119</v>
      </c>
      <c r="F13" s="5">
        <v>19.43</v>
      </c>
      <c r="G13" s="5">
        <f t="shared" si="5"/>
        <v>2191.8195989371138</v>
      </c>
      <c r="H13" s="6">
        <f t="shared" si="0"/>
        <v>1668.3900326832795</v>
      </c>
      <c r="I13" s="5">
        <v>133.3246320759603</v>
      </c>
      <c r="J13" s="5">
        <v>52.569590131246592</v>
      </c>
      <c r="K13" s="5">
        <v>51.409748976270805</v>
      </c>
      <c r="L13" s="6">
        <f t="shared" si="1"/>
        <v>7.9912148516935009</v>
      </c>
      <c r="M13" s="6">
        <f t="shared" si="2"/>
        <v>3.1509172975996909</v>
      </c>
      <c r="N13" s="6">
        <f t="shared" si="3"/>
        <v>3.081398711882033</v>
      </c>
      <c r="O13" s="5">
        <v>2317.9885459881948</v>
      </c>
      <c r="P13" s="5">
        <v>501.85600961734121</v>
      </c>
      <c r="Q13" s="5">
        <v>136.47224529433029</v>
      </c>
      <c r="R13" s="5">
        <v>5355.2788166020591</v>
      </c>
      <c r="S13" s="5">
        <v>1382.4160585102766</v>
      </c>
      <c r="T13" s="5">
        <v>3065.7246404930747</v>
      </c>
      <c r="U13" s="5">
        <v>1762.5742695213958</v>
      </c>
      <c r="V13" s="5">
        <v>1845.8906392086556</v>
      </c>
      <c r="W13" s="5">
        <v>985.53468499802148</v>
      </c>
      <c r="X13" s="5">
        <v>3547.0500111854276</v>
      </c>
      <c r="Y13" s="5">
        <f t="shared" si="6"/>
        <v>20900.785921418777</v>
      </c>
      <c r="Z13" s="5">
        <f t="shared" si="7"/>
        <v>49.077791395551735</v>
      </c>
      <c r="AA13" s="5">
        <v>42587.054810525078</v>
      </c>
      <c r="AB13" s="5">
        <v>4025.7851676772348</v>
      </c>
      <c r="AC13" s="5">
        <v>2512.4556034714324</v>
      </c>
      <c r="AD13" s="5">
        <v>541.77072001932868</v>
      </c>
      <c r="AE13" s="5">
        <v>303.7366811277181</v>
      </c>
      <c r="AF13" s="5">
        <v>490.81057855896046</v>
      </c>
      <c r="AG13" s="5">
        <v>6050.1280386802946</v>
      </c>
      <c r="AH13" s="5">
        <v>2023.1975203499801</v>
      </c>
      <c r="AI13" s="5">
        <f t="shared" si="4"/>
        <v>15947.884309884948</v>
      </c>
      <c r="AJ13" s="20">
        <f t="shared" si="8"/>
        <v>37.447727674146527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</row>
    <row r="14" spans="2:59" x14ac:dyDescent="0.3">
      <c r="B14" s="6">
        <v>2008</v>
      </c>
      <c r="C14" s="5" t="s">
        <v>34</v>
      </c>
      <c r="D14">
        <v>131.72</v>
      </c>
      <c r="E14" s="5">
        <v>42613.968728903608</v>
      </c>
      <c r="F14" s="5">
        <v>19.726666666666663</v>
      </c>
      <c r="G14" s="5">
        <f t="shared" si="5"/>
        <v>2160.2214631076522</v>
      </c>
      <c r="H14" s="6">
        <f t="shared" si="0"/>
        <v>1640.0102210048985</v>
      </c>
      <c r="I14" s="5">
        <v>116.14158957626967</v>
      </c>
      <c r="J14" s="5">
        <v>52.411537701892399</v>
      </c>
      <c r="K14" s="5">
        <v>33.640524983342623</v>
      </c>
      <c r="L14" s="6">
        <f t="shared" si="1"/>
        <v>7.0817601066598943</v>
      </c>
      <c r="M14" s="6">
        <f t="shared" si="2"/>
        <v>3.1958055523445337</v>
      </c>
      <c r="N14" s="6">
        <f t="shared" si="3"/>
        <v>2.0512387393982068</v>
      </c>
      <c r="O14" s="5">
        <v>2364.9690630244586</v>
      </c>
      <c r="P14" s="5">
        <v>459.94174590135248</v>
      </c>
      <c r="Q14" s="5">
        <v>138.92482219168829</v>
      </c>
      <c r="R14" s="5">
        <v>5451.4277644336507</v>
      </c>
      <c r="S14" s="5">
        <v>1422.3671857642803</v>
      </c>
      <c r="T14" s="5">
        <v>3332.2632862008936</v>
      </c>
      <c r="U14" s="5">
        <v>1927.4416251578973</v>
      </c>
      <c r="V14" s="5">
        <v>1863.7663955333187</v>
      </c>
      <c r="W14" s="5">
        <v>974.49752584889177</v>
      </c>
      <c r="X14" s="5">
        <v>3941.3570760635835</v>
      </c>
      <c r="Y14" s="5">
        <f t="shared" si="6"/>
        <v>21876.956490120017</v>
      </c>
      <c r="Z14" s="5">
        <f t="shared" si="7"/>
        <v>51.337524152180926</v>
      </c>
      <c r="AA14" s="5">
        <v>42613.96873224678</v>
      </c>
      <c r="AB14" s="5">
        <v>3427.4395983434383</v>
      </c>
      <c r="AC14" s="5">
        <v>2461.747656125136</v>
      </c>
      <c r="AD14" s="5">
        <v>487.43413837740337</v>
      </c>
      <c r="AE14" s="5">
        <v>292.02328939155296</v>
      </c>
      <c r="AF14" s="5">
        <v>414.22161890971461</v>
      </c>
      <c r="AG14" s="5">
        <v>5620.0421529315772</v>
      </c>
      <c r="AH14" s="5">
        <v>2113.2761676547034</v>
      </c>
      <c r="AI14" s="5">
        <f t="shared" si="4"/>
        <v>14816.184621733524</v>
      </c>
      <c r="AJ14" s="20">
        <f t="shared" si="8"/>
        <v>34.768375400158028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</row>
    <row r="15" spans="2:59" x14ac:dyDescent="0.3">
      <c r="B15" s="6">
        <v>2009</v>
      </c>
      <c r="C15" s="5" t="s">
        <v>31</v>
      </c>
      <c r="D15">
        <v>131.90333333333334</v>
      </c>
      <c r="E15" s="5">
        <v>40811.411903133805</v>
      </c>
      <c r="F15" s="5">
        <v>19.983333333333334</v>
      </c>
      <c r="G15" s="5">
        <f t="shared" si="5"/>
        <v>2042.2724888974381</v>
      </c>
      <c r="H15" s="6">
        <f t="shared" si="0"/>
        <v>1548.3099913300939</v>
      </c>
      <c r="I15" s="5">
        <v>119.44857193908068</v>
      </c>
      <c r="J15" s="5">
        <v>49.509335272859062</v>
      </c>
      <c r="K15" s="5">
        <v>42.611933950000463</v>
      </c>
      <c r="L15" s="6">
        <f t="shared" si="1"/>
        <v>7.7147711122413529</v>
      </c>
      <c r="M15" s="6">
        <f t="shared" si="2"/>
        <v>3.1976371366258181</v>
      </c>
      <c r="N15" s="6">
        <f t="shared" si="3"/>
        <v>2.7521577842040652</v>
      </c>
      <c r="O15" s="5">
        <v>1766.1248636475382</v>
      </c>
      <c r="P15" s="5">
        <v>726.81268807748097</v>
      </c>
      <c r="Q15" s="5">
        <v>161.90367556739201</v>
      </c>
      <c r="R15" s="5">
        <v>4701.3721419694966</v>
      </c>
      <c r="S15" s="5">
        <v>1480.8223447413923</v>
      </c>
      <c r="T15" s="5">
        <v>3090.6251875920129</v>
      </c>
      <c r="U15" s="5">
        <v>1797.7718893599299</v>
      </c>
      <c r="V15" s="5">
        <v>2080.6173843610668</v>
      </c>
      <c r="W15" s="5">
        <v>952.09762320606035</v>
      </c>
      <c r="X15" s="5">
        <v>3411.8619167200409</v>
      </c>
      <c r="Y15" s="5">
        <f t="shared" si="6"/>
        <v>20170.009715242413</v>
      </c>
      <c r="Z15" s="5">
        <f t="shared" si="7"/>
        <v>49.422474680235325</v>
      </c>
      <c r="AA15" s="5">
        <v>40811.411904690911</v>
      </c>
      <c r="AB15" s="5">
        <v>3075.0410263716567</v>
      </c>
      <c r="AC15" s="5">
        <v>2280.9559327805468</v>
      </c>
      <c r="AD15" s="5">
        <v>545.92506064317263</v>
      </c>
      <c r="AE15" s="5">
        <v>140.80349425546592</v>
      </c>
      <c r="AF15" s="5">
        <v>502.54754692577228</v>
      </c>
      <c r="AG15" s="5">
        <v>6050.1269834666464</v>
      </c>
      <c r="AH15" s="5">
        <v>2002.38880864466</v>
      </c>
      <c r="AI15" s="5">
        <f t="shared" si="4"/>
        <v>14597.788853087921</v>
      </c>
      <c r="AJ15" s="20">
        <f t="shared" si="8"/>
        <v>35.768889562505024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</row>
    <row r="16" spans="2:59" x14ac:dyDescent="0.3">
      <c r="B16" s="6">
        <v>2009</v>
      </c>
      <c r="C16" s="5" t="s">
        <v>32</v>
      </c>
      <c r="D16">
        <v>131.67666666666665</v>
      </c>
      <c r="E16" s="5">
        <v>40681.306044449309</v>
      </c>
      <c r="F16" s="5">
        <v>20.146666666666665</v>
      </c>
      <c r="G16" s="5">
        <f t="shared" si="5"/>
        <v>2019.2574145160149</v>
      </c>
      <c r="H16" s="6">
        <f t="shared" si="0"/>
        <v>1533.4967581064845</v>
      </c>
      <c r="I16" s="5">
        <v>112.25974596991864</v>
      </c>
      <c r="J16" s="5">
        <v>48.299964728662587</v>
      </c>
      <c r="K16" s="5">
        <v>48.08754038730271</v>
      </c>
      <c r="L16" s="6">
        <f t="shared" si="1"/>
        <v>7.320507550895222</v>
      </c>
      <c r="M16" s="6">
        <f t="shared" si="2"/>
        <v>3.1496620043919705</v>
      </c>
      <c r="N16" s="6">
        <f t="shared" si="3"/>
        <v>3.1358097193945</v>
      </c>
      <c r="O16" s="5">
        <v>1818.5309127136329</v>
      </c>
      <c r="P16" s="5">
        <v>723.84296831174174</v>
      </c>
      <c r="Q16" s="5">
        <v>175.57548715628113</v>
      </c>
      <c r="R16" s="5">
        <v>4861.4478845440281</v>
      </c>
      <c r="S16" s="5">
        <v>1505.2372782034995</v>
      </c>
      <c r="T16" s="5">
        <v>3244.8871315570118</v>
      </c>
      <c r="U16" s="5">
        <v>1841.3888947001662</v>
      </c>
      <c r="V16" s="5">
        <v>2062.7251695047039</v>
      </c>
      <c r="W16" s="5">
        <v>1040.4841393159297</v>
      </c>
      <c r="X16" s="5">
        <v>3791.4442804633732</v>
      </c>
      <c r="Y16" s="5">
        <f t="shared" si="6"/>
        <v>21065.564146470369</v>
      </c>
      <c r="Z16" s="5">
        <f t="shared" si="7"/>
        <v>51.781926870976967</v>
      </c>
      <c r="AA16" s="5">
        <v>40681.306045174068</v>
      </c>
      <c r="AB16" s="5">
        <v>3649.1704997956122</v>
      </c>
      <c r="AC16" s="5">
        <v>2151.3703323698342</v>
      </c>
      <c r="AD16" s="5">
        <v>450.03577174879308</v>
      </c>
      <c r="AE16" s="5">
        <v>159.96839752816587</v>
      </c>
      <c r="AF16" s="5">
        <v>458.15522972690599</v>
      </c>
      <c r="AG16" s="5">
        <v>4886.8154164344769</v>
      </c>
      <c r="AH16" s="5">
        <v>2019.1221445398717</v>
      </c>
      <c r="AI16" s="5">
        <f t="shared" si="4"/>
        <v>13774.63779214366</v>
      </c>
      <c r="AJ16" s="20">
        <f t="shared" si="8"/>
        <v>33.859871108483539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</row>
    <row r="17" spans="2:59" x14ac:dyDescent="0.3">
      <c r="B17" s="6">
        <v>2009</v>
      </c>
      <c r="C17" s="5" t="s">
        <v>33</v>
      </c>
      <c r="D17">
        <v>131.35666666666665</v>
      </c>
      <c r="E17" s="5">
        <v>42500.674147255617</v>
      </c>
      <c r="F17" s="5">
        <v>20.483333333333334</v>
      </c>
      <c r="G17" s="5">
        <f t="shared" si="5"/>
        <v>2074.8905198009252</v>
      </c>
      <c r="H17" s="6">
        <f t="shared" si="0"/>
        <v>1579.5852410492491</v>
      </c>
      <c r="I17" s="5">
        <v>140.90763346700194</v>
      </c>
      <c r="J17" s="5">
        <v>46.742520177642</v>
      </c>
      <c r="K17" s="5">
        <v>43.481244498004635</v>
      </c>
      <c r="L17" s="6">
        <f t="shared" si="1"/>
        <v>8.9205463437606678</v>
      </c>
      <c r="M17" s="6">
        <f t="shared" si="2"/>
        <v>2.9591641503685482</v>
      </c>
      <c r="N17" s="6">
        <f t="shared" si="3"/>
        <v>2.7527000992438975</v>
      </c>
      <c r="O17" s="5">
        <v>1514.6157825241053</v>
      </c>
      <c r="P17" s="5">
        <v>824.94165508670176</v>
      </c>
      <c r="Q17" s="5">
        <v>168.68862170637695</v>
      </c>
      <c r="R17" s="5">
        <v>4843.066665937271</v>
      </c>
      <c r="S17" s="5">
        <v>1494.9858336981554</v>
      </c>
      <c r="T17" s="5">
        <v>3329.8252865627537</v>
      </c>
      <c r="U17" s="5">
        <v>1869.1603239601666</v>
      </c>
      <c r="V17" s="5">
        <v>2068.8532031229815</v>
      </c>
      <c r="W17" s="5">
        <v>1057.9441775963244</v>
      </c>
      <c r="X17" s="5">
        <v>3793.9047067096517</v>
      </c>
      <c r="Y17" s="5">
        <f t="shared" si="6"/>
        <v>20965.986256904489</v>
      </c>
      <c r="Z17" s="5">
        <f t="shared" si="7"/>
        <v>49.330949868276178</v>
      </c>
      <c r="AA17" s="5">
        <v>42500.674146530728</v>
      </c>
      <c r="AB17" s="5">
        <v>4059.8099667439569</v>
      </c>
      <c r="AC17" s="5">
        <v>2231.3048616277538</v>
      </c>
      <c r="AD17" s="5">
        <v>480.05302262614941</v>
      </c>
      <c r="AE17" s="5">
        <v>366.06376787678261</v>
      </c>
      <c r="AF17" s="5">
        <v>494.74289085838024</v>
      </c>
      <c r="AG17" s="5">
        <v>5945.4619822297809</v>
      </c>
      <c r="AH17" s="5">
        <v>1998.5607438939501</v>
      </c>
      <c r="AI17" s="5">
        <f t="shared" si="4"/>
        <v>15575.997235856752</v>
      </c>
      <c r="AJ17" s="20">
        <f t="shared" si="8"/>
        <v>36.648823927251044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 spans="2:59" x14ac:dyDescent="0.3">
      <c r="B18" s="6">
        <v>2009</v>
      </c>
      <c r="C18" s="5" t="s">
        <v>34</v>
      </c>
      <c r="D18">
        <v>132.51999999999998</v>
      </c>
      <c r="E18" s="5">
        <v>44797.917833091968</v>
      </c>
      <c r="F18" s="5">
        <v>20.723333333333333</v>
      </c>
      <c r="G18" s="5">
        <f t="shared" si="5"/>
        <v>2161.7139054089739</v>
      </c>
      <c r="H18" s="6">
        <f t="shared" si="0"/>
        <v>1631.2359684643632</v>
      </c>
      <c r="I18" s="5">
        <v>129.91668630285571</v>
      </c>
      <c r="J18" s="5">
        <v>49.674554706107443</v>
      </c>
      <c r="K18" s="5">
        <v>30.362478129515925</v>
      </c>
      <c r="L18" s="6">
        <f t="shared" si="1"/>
        <v>7.9643098125869907</v>
      </c>
      <c r="M18" s="6">
        <f t="shared" si="2"/>
        <v>3.045209624262442</v>
      </c>
      <c r="N18" s="6">
        <f t="shared" si="3"/>
        <v>1.8613173517807482</v>
      </c>
      <c r="O18" s="5">
        <v>1875.390508346484</v>
      </c>
      <c r="P18" s="5">
        <v>781.16876967306735</v>
      </c>
      <c r="Q18" s="5">
        <v>159.09116219882534</v>
      </c>
      <c r="R18" s="5">
        <v>5153.0830429630823</v>
      </c>
      <c r="S18" s="5">
        <v>1550.1599567065834</v>
      </c>
      <c r="T18" s="5">
        <v>3327.1382680801894</v>
      </c>
      <c r="U18" s="5">
        <v>2054.0376929503768</v>
      </c>
      <c r="V18" s="5">
        <v>2060.3819277913649</v>
      </c>
      <c r="W18" s="5">
        <v>1081.319637348787</v>
      </c>
      <c r="X18" s="5">
        <v>4293.1660922551073</v>
      </c>
      <c r="Y18" s="5">
        <f t="shared" si="6"/>
        <v>22334.937058313866</v>
      </c>
      <c r="Z18" s="5">
        <f t="shared" si="7"/>
        <v>49.857087425906883</v>
      </c>
      <c r="AA18" s="5">
        <v>44797.917831654406</v>
      </c>
      <c r="AB18" s="5">
        <v>4385.0894200132398</v>
      </c>
      <c r="AC18" s="5">
        <v>2293.5102806155846</v>
      </c>
      <c r="AD18" s="5">
        <v>537.25048327879028</v>
      </c>
      <c r="AE18" s="5">
        <v>314.44623879943373</v>
      </c>
      <c r="AF18" s="5">
        <v>441.56745511961731</v>
      </c>
      <c r="AG18" s="5">
        <v>6097.7765667376443</v>
      </c>
      <c r="AH18" s="5">
        <v>1971.1219560444031</v>
      </c>
      <c r="AI18" s="5">
        <f t="shared" si="4"/>
        <v>16040.762400608712</v>
      </c>
      <c r="AJ18" s="20">
        <f t="shared" si="8"/>
        <v>35.806937413672024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 spans="2:59" x14ac:dyDescent="0.3">
      <c r="B19" s="6">
        <v>2010</v>
      </c>
      <c r="C19" s="5" t="s">
        <v>31</v>
      </c>
      <c r="D19">
        <v>135.87</v>
      </c>
      <c r="E19" s="5">
        <v>44249.001341001465</v>
      </c>
      <c r="F19" s="5">
        <v>21.026666666666667</v>
      </c>
      <c r="G19" s="5">
        <f t="shared" si="5"/>
        <v>2104.4230187540329</v>
      </c>
      <c r="H19" s="6">
        <f t="shared" si="0"/>
        <v>1548.8503854817345</v>
      </c>
      <c r="I19" s="5">
        <v>142.91106967725605</v>
      </c>
      <c r="J19" s="5">
        <v>49.464044960105248</v>
      </c>
      <c r="K19" s="5">
        <v>58.709747447002336</v>
      </c>
      <c r="L19" s="6">
        <f t="shared" si="1"/>
        <v>9.2269124905054554</v>
      </c>
      <c r="M19" s="6">
        <f t="shared" si="2"/>
        <v>3.1935973560622894</v>
      </c>
      <c r="N19" s="6">
        <f t="shared" si="3"/>
        <v>3.7905370329712</v>
      </c>
      <c r="O19" s="5">
        <v>1378.8436660474222</v>
      </c>
      <c r="P19" s="5">
        <v>919.08693471291986</v>
      </c>
      <c r="Q19" s="5">
        <v>124.76689368335298</v>
      </c>
      <c r="R19" s="5">
        <v>4939.6327920790936</v>
      </c>
      <c r="S19" s="5">
        <v>1633.3596701161346</v>
      </c>
      <c r="T19" s="5">
        <v>3428.3259614947333</v>
      </c>
      <c r="U19" s="5">
        <v>1920.1101370807764</v>
      </c>
      <c r="V19" s="5">
        <v>2182.5349062186801</v>
      </c>
      <c r="W19" s="5">
        <v>1092.3195219875745</v>
      </c>
      <c r="X19" s="5">
        <v>3850.0645775896405</v>
      </c>
      <c r="Y19" s="5">
        <f t="shared" si="6"/>
        <v>21469.045061010329</v>
      </c>
      <c r="Z19" s="5">
        <f t="shared" si="7"/>
        <v>48.518710956788667</v>
      </c>
      <c r="AA19" s="5">
        <v>44249.001339155351</v>
      </c>
      <c r="AB19" s="5">
        <v>3237.7294888491992</v>
      </c>
      <c r="AC19" s="5">
        <v>2390.860448125894</v>
      </c>
      <c r="AD19" s="5">
        <v>501.06651588825025</v>
      </c>
      <c r="AE19" s="5">
        <v>137.47324850965407</v>
      </c>
      <c r="AF19" s="5">
        <v>709.69873495561308</v>
      </c>
      <c r="AG19" s="5">
        <v>6769.1894786670227</v>
      </c>
      <c r="AH19" s="5">
        <v>1853.1621245782619</v>
      </c>
      <c r="AI19" s="5">
        <f t="shared" si="4"/>
        <v>15599.180039573896</v>
      </c>
      <c r="AJ19" s="20">
        <f t="shared" si="8"/>
        <v>35.253179885373797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 spans="2:59" x14ac:dyDescent="0.3">
      <c r="B20" s="6">
        <v>2010</v>
      </c>
      <c r="C20" s="5" t="s">
        <v>32</v>
      </c>
      <c r="D20">
        <v>137.88999999999999</v>
      </c>
      <c r="E20" s="5">
        <v>43900.747635914799</v>
      </c>
      <c r="F20" s="5">
        <v>21.26</v>
      </c>
      <c r="G20" s="5">
        <f t="shared" si="5"/>
        <v>2064.9457966093505</v>
      </c>
      <c r="H20" s="6">
        <f t="shared" si="0"/>
        <v>1497.5312180791577</v>
      </c>
      <c r="I20" s="5">
        <v>146.79744242764437</v>
      </c>
      <c r="J20" s="5">
        <v>47.743578250026992</v>
      </c>
      <c r="K20" s="5">
        <v>63.370982731958996</v>
      </c>
      <c r="L20" s="6">
        <f t="shared" si="1"/>
        <v>9.8026298654352875</v>
      </c>
      <c r="M20" s="6">
        <f t="shared" si="2"/>
        <v>3.1881524520915407</v>
      </c>
      <c r="N20" s="6">
        <f t="shared" si="3"/>
        <v>4.2316969400640083</v>
      </c>
      <c r="O20" s="5">
        <v>1543.8708837849908</v>
      </c>
      <c r="P20" s="5">
        <v>894.37543350986061</v>
      </c>
      <c r="Q20" s="5">
        <v>120.73221377175976</v>
      </c>
      <c r="R20" s="5">
        <v>4825.7831188801629</v>
      </c>
      <c r="S20" s="5">
        <v>1411.5835777994914</v>
      </c>
      <c r="T20" s="5">
        <v>3369.432559322559</v>
      </c>
      <c r="U20" s="5">
        <v>1967.026152296022</v>
      </c>
      <c r="V20" s="5">
        <v>2190.7819193319433</v>
      </c>
      <c r="W20" s="5">
        <v>1111.5768144048354</v>
      </c>
      <c r="X20" s="5">
        <v>4063.8830366549896</v>
      </c>
      <c r="Y20" s="5">
        <f t="shared" si="6"/>
        <v>21499.045709756614</v>
      </c>
      <c r="Z20" s="5">
        <f t="shared" si="7"/>
        <v>48.971935259252454</v>
      </c>
      <c r="AA20" s="5">
        <v>43900.747634217129</v>
      </c>
      <c r="AB20" s="5">
        <v>3724.6855585205135</v>
      </c>
      <c r="AC20" s="5">
        <v>2420.9082047880393</v>
      </c>
      <c r="AD20" s="5">
        <v>433.31313497670243</v>
      </c>
      <c r="AE20" s="5">
        <v>216.11534528753381</v>
      </c>
      <c r="AF20" s="5">
        <v>772.91449480221308</v>
      </c>
      <c r="AG20" s="5">
        <v>6183.139230035601</v>
      </c>
      <c r="AH20" s="5">
        <v>1958.6482607271532</v>
      </c>
      <c r="AI20" s="5">
        <f t="shared" si="4"/>
        <v>15709.724229137757</v>
      </c>
      <c r="AJ20" s="20">
        <f t="shared" si="8"/>
        <v>35.784639387082514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 spans="2:59" x14ac:dyDescent="0.3">
      <c r="B21" s="6">
        <v>2010</v>
      </c>
      <c r="C21" s="5" t="s">
        <v>33</v>
      </c>
      <c r="D21">
        <v>138.78333333333333</v>
      </c>
      <c r="E21" s="5">
        <v>47094.144436249626</v>
      </c>
      <c r="F21" s="5">
        <v>21.523333333333337</v>
      </c>
      <c r="G21" s="5">
        <f t="shared" si="5"/>
        <v>2188.0506939561537</v>
      </c>
      <c r="H21" s="6">
        <f t="shared" si="0"/>
        <v>1576.5947116292689</v>
      </c>
      <c r="I21" s="5">
        <v>163.59245955900883</v>
      </c>
      <c r="J21" s="5">
        <v>48.252532756816784</v>
      </c>
      <c r="K21" s="5">
        <v>49.759817836678799</v>
      </c>
      <c r="L21" s="6">
        <f t="shared" si="1"/>
        <v>10.376316649568787</v>
      </c>
      <c r="M21" s="6">
        <f t="shared" si="2"/>
        <v>3.06055401561966</v>
      </c>
      <c r="N21" s="6">
        <f t="shared" si="3"/>
        <v>3.1561578552585972</v>
      </c>
      <c r="O21" s="5">
        <v>1514.5080850666361</v>
      </c>
      <c r="P21" s="5">
        <v>888.49701412904051</v>
      </c>
      <c r="Q21" s="5">
        <v>111.27617046169669</v>
      </c>
      <c r="R21" s="5">
        <v>4930.1093933375332</v>
      </c>
      <c r="S21" s="5">
        <v>1520.6554777209903</v>
      </c>
      <c r="T21" s="5">
        <v>3413.3367062439243</v>
      </c>
      <c r="U21" s="5">
        <v>2017.9978703184966</v>
      </c>
      <c r="V21" s="5">
        <v>2163.7499593160746</v>
      </c>
      <c r="W21" s="5">
        <v>1110.7184501329241</v>
      </c>
      <c r="X21" s="5">
        <v>4269.8197897945111</v>
      </c>
      <c r="Y21" s="5">
        <f t="shared" si="6"/>
        <v>21940.66891652183</v>
      </c>
      <c r="Z21" s="5">
        <f t="shared" si="7"/>
        <v>46.58895321084448</v>
      </c>
      <c r="AA21" s="5">
        <v>47094.144436399816</v>
      </c>
      <c r="AB21" s="5">
        <v>5168.0382490675975</v>
      </c>
      <c r="AC21" s="5">
        <v>2466.2690225186375</v>
      </c>
      <c r="AD21" s="5">
        <v>529.94230028185348</v>
      </c>
      <c r="AE21" s="5">
        <v>439.06933256092236</v>
      </c>
      <c r="AF21" s="5">
        <v>1033.351166008081</v>
      </c>
      <c r="AG21" s="5">
        <v>6785.3606951518168</v>
      </c>
      <c r="AH21" s="5">
        <v>2002.0434030248443</v>
      </c>
      <c r="AI21" s="5">
        <f t="shared" si="4"/>
        <v>18424.074168613752</v>
      </c>
      <c r="AJ21" s="20">
        <f t="shared" si="8"/>
        <v>39.12179399180993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 spans="2:59" x14ac:dyDescent="0.3">
      <c r="B22" s="6">
        <v>2010</v>
      </c>
      <c r="C22" s="5" t="s">
        <v>34</v>
      </c>
      <c r="D22">
        <v>143.68666666666664</v>
      </c>
      <c r="E22" s="5">
        <v>51808.748438951669</v>
      </c>
      <c r="F22" s="5">
        <v>21.75333333333333</v>
      </c>
      <c r="G22" s="5">
        <f t="shared" si="5"/>
        <v>2381.6464191979012</v>
      </c>
      <c r="H22" s="6">
        <f t="shared" si="0"/>
        <v>1657.5277821170382</v>
      </c>
      <c r="I22" s="5">
        <v>153.61365984416452</v>
      </c>
      <c r="J22" s="5">
        <v>51.619492101505422</v>
      </c>
      <c r="K22" s="5">
        <v>48.130605086556585</v>
      </c>
      <c r="L22" s="6">
        <f t="shared" si="1"/>
        <v>9.2676371100075983</v>
      </c>
      <c r="M22" s="6">
        <f t="shared" si="2"/>
        <v>3.1142459666996136</v>
      </c>
      <c r="N22" s="6">
        <f t="shared" si="3"/>
        <v>2.9037585738130378</v>
      </c>
      <c r="O22" s="5">
        <v>2120.6635156308457</v>
      </c>
      <c r="P22" s="5">
        <v>858.58155843472696</v>
      </c>
      <c r="Q22" s="5">
        <v>112.40522256078083</v>
      </c>
      <c r="R22" s="5">
        <v>5617.6585391516164</v>
      </c>
      <c r="S22" s="5">
        <v>1536.123467487319</v>
      </c>
      <c r="T22" s="5">
        <v>3503.2086257037226</v>
      </c>
      <c r="U22" s="5">
        <v>2246.5221165013031</v>
      </c>
      <c r="V22" s="5">
        <v>2162.6427423962173</v>
      </c>
      <c r="W22" s="5">
        <v>1152.5245624309191</v>
      </c>
      <c r="X22" s="5">
        <v>4779.9227470018704</v>
      </c>
      <c r="Y22" s="5">
        <f t="shared" si="6"/>
        <v>24090.253097299323</v>
      </c>
      <c r="Z22" s="5">
        <f t="shared" si="7"/>
        <v>46.498427044661824</v>
      </c>
      <c r="AA22" s="5">
        <v>51808.748442523851</v>
      </c>
      <c r="AB22" s="5">
        <v>6311.3373263599378</v>
      </c>
      <c r="AC22" s="5">
        <v>2735.6995839551914</v>
      </c>
      <c r="AD22" s="5">
        <v>541.22666511568593</v>
      </c>
      <c r="AE22" s="5">
        <v>512.73637216643635</v>
      </c>
      <c r="AF22" s="5">
        <v>1305.8215959350796</v>
      </c>
      <c r="AG22" s="5">
        <v>6945.9759229265474</v>
      </c>
      <c r="AH22" s="5">
        <v>1985.0714989634632</v>
      </c>
      <c r="AI22" s="5">
        <f t="shared" si="4"/>
        <v>20337.868965422342</v>
      </c>
      <c r="AJ22" s="20">
        <f t="shared" si="8"/>
        <v>39.255665455777198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spans="2:59" x14ac:dyDescent="0.3">
      <c r="B23" s="6">
        <v>2011</v>
      </c>
      <c r="C23" s="5" t="s">
        <v>31</v>
      </c>
      <c r="D23">
        <v>145.81999999999996</v>
      </c>
      <c r="E23" s="5">
        <v>49875.119583828156</v>
      </c>
      <c r="F23" s="5">
        <v>22.049999999999997</v>
      </c>
      <c r="G23" s="5">
        <f t="shared" si="5"/>
        <v>2261.9101852076265</v>
      </c>
      <c r="H23" s="6">
        <f t="shared" si="0"/>
        <v>1551.1659478861795</v>
      </c>
      <c r="I23" s="5">
        <v>159.2142927176188</v>
      </c>
      <c r="J23" s="5">
        <v>48.950538287659164</v>
      </c>
      <c r="K23" s="5">
        <v>79.383004574342138</v>
      </c>
      <c r="L23" s="6">
        <f t="shared" si="1"/>
        <v>10.264168894023552</v>
      </c>
      <c r="M23" s="6">
        <f t="shared" si="2"/>
        <v>3.1557254305617994</v>
      </c>
      <c r="N23" s="6">
        <f t="shared" si="3"/>
        <v>5.117634556284564</v>
      </c>
      <c r="O23" s="5">
        <v>1813.8936035123868</v>
      </c>
      <c r="P23" s="5">
        <v>1010.1246999956975</v>
      </c>
      <c r="Q23" s="5">
        <v>130.46468163514493</v>
      </c>
      <c r="R23" s="5">
        <v>5743.5267714987222</v>
      </c>
      <c r="S23" s="5">
        <v>1529.1894365628996</v>
      </c>
      <c r="T23" s="5">
        <v>3571.043681297082</v>
      </c>
      <c r="U23" s="5">
        <v>2146.8948135717483</v>
      </c>
      <c r="V23" s="5">
        <v>2306.2881899086628</v>
      </c>
      <c r="W23" s="5">
        <v>1174.0024770925315</v>
      </c>
      <c r="X23" s="5">
        <v>4133.2340227425439</v>
      </c>
      <c r="Y23" s="5">
        <f t="shared" si="6"/>
        <v>23558.662377817422</v>
      </c>
      <c r="Z23" s="5">
        <f t="shared" si="7"/>
        <v>47.235300026375768</v>
      </c>
      <c r="AA23" s="5">
        <v>49875.119592047631</v>
      </c>
      <c r="AB23" s="5">
        <v>4143.7526636495668</v>
      </c>
      <c r="AC23" s="5">
        <v>2903.1732525447255</v>
      </c>
      <c r="AD23" s="5">
        <v>474.03948980237578</v>
      </c>
      <c r="AE23" s="5">
        <v>204.96339475655219</v>
      </c>
      <c r="AF23" s="5">
        <v>1463.9509017144355</v>
      </c>
      <c r="AG23" s="5">
        <v>7756.0045541906757</v>
      </c>
      <c r="AH23" s="5">
        <v>1935.7046751234557</v>
      </c>
      <c r="AI23" s="5">
        <f t="shared" si="4"/>
        <v>18881.588931781789</v>
      </c>
      <c r="AJ23" s="20">
        <f t="shared" si="8"/>
        <v>37.857731642998154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spans="2:59" x14ac:dyDescent="0.3">
      <c r="B24" s="6">
        <v>2011</v>
      </c>
      <c r="C24" s="5" t="s">
        <v>32</v>
      </c>
      <c r="D24">
        <v>149.11333333333334</v>
      </c>
      <c r="E24" s="5">
        <v>53616.043490352473</v>
      </c>
      <c r="F24" s="5">
        <v>22.27</v>
      </c>
      <c r="G24" s="5">
        <f t="shared" si="5"/>
        <v>2407.5457337383241</v>
      </c>
      <c r="H24" s="6">
        <f t="shared" si="0"/>
        <v>1614.5744179404865</v>
      </c>
      <c r="I24" s="5">
        <v>163.49425599143578</v>
      </c>
      <c r="J24" s="5">
        <v>49.454904232614304</v>
      </c>
      <c r="K24" s="5">
        <v>75.441513572535669</v>
      </c>
      <c r="L24" s="6">
        <f t="shared" si="1"/>
        <v>10.126151769454223</v>
      </c>
      <c r="M24" s="6">
        <f t="shared" si="2"/>
        <v>3.0630303368548244</v>
      </c>
      <c r="N24" s="6">
        <f t="shared" si="3"/>
        <v>4.6725324478240591</v>
      </c>
      <c r="O24" s="5">
        <v>2021.9645937523469</v>
      </c>
      <c r="P24" s="5">
        <v>1137.7072726596691</v>
      </c>
      <c r="Q24" s="5">
        <v>141.33794641356047</v>
      </c>
      <c r="R24" s="5">
        <v>5913.259562781388</v>
      </c>
      <c r="S24" s="5">
        <v>1540.6381485943814</v>
      </c>
      <c r="T24" s="5">
        <v>3663.7676696723261</v>
      </c>
      <c r="U24" s="5">
        <v>2231.5605191737859</v>
      </c>
      <c r="V24" s="5">
        <v>2377.2570802873392</v>
      </c>
      <c r="W24" s="5">
        <v>1189.7355784189244</v>
      </c>
      <c r="X24" s="5">
        <v>4187.1715507916042</v>
      </c>
      <c r="Y24" s="5">
        <f t="shared" si="6"/>
        <v>24404.399922545326</v>
      </c>
      <c r="Z24" s="5">
        <f t="shared" si="7"/>
        <v>45.516972776073686</v>
      </c>
      <c r="AA24" s="5">
        <v>53616.043497896397</v>
      </c>
      <c r="AB24" s="5">
        <v>6669.7536198462731</v>
      </c>
      <c r="AC24" s="5">
        <v>3151.0248944453465</v>
      </c>
      <c r="AD24" s="5">
        <v>473.85353917980558</v>
      </c>
      <c r="AE24" s="5">
        <v>303.58554713583158</v>
      </c>
      <c r="AF24" s="5">
        <v>1578.7236396157728</v>
      </c>
      <c r="AG24" s="5">
        <v>6938.5817122503649</v>
      </c>
      <c r="AH24" s="5">
        <v>1979.0461968380257</v>
      </c>
      <c r="AI24" s="5">
        <f t="shared" si="4"/>
        <v>21094.569149311421</v>
      </c>
      <c r="AJ24" s="20">
        <f t="shared" si="8"/>
        <v>39.343763122206241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spans="2:59" x14ac:dyDescent="0.3">
      <c r="B25" s="6">
        <v>2011</v>
      </c>
      <c r="C25" s="5" t="s">
        <v>33</v>
      </c>
      <c r="D25">
        <v>151.57000000000002</v>
      </c>
      <c r="E25" s="5">
        <v>55973.930361559891</v>
      </c>
      <c r="F25" s="5">
        <v>22.596666666666664</v>
      </c>
      <c r="G25" s="5">
        <f t="shared" si="5"/>
        <v>2477.0879345726462</v>
      </c>
      <c r="H25" s="6">
        <f t="shared" si="0"/>
        <v>1634.2864251320484</v>
      </c>
      <c r="I25" s="5">
        <v>175.5740364494076</v>
      </c>
      <c r="J25" s="5">
        <v>49.83357110566871</v>
      </c>
      <c r="K25" s="5">
        <v>53.970115969071799</v>
      </c>
      <c r="L25" s="6">
        <f t="shared" si="1"/>
        <v>10.74316189313152</v>
      </c>
      <c r="M25" s="6">
        <f t="shared" si="2"/>
        <v>3.0492556469495375</v>
      </c>
      <c r="N25" s="6">
        <f t="shared" si="3"/>
        <v>3.3023657994779629</v>
      </c>
      <c r="O25" s="5">
        <v>2007.7276186754675</v>
      </c>
      <c r="P25" s="5">
        <v>1073.1830499580046</v>
      </c>
      <c r="Q25" s="5">
        <v>131.03992415980576</v>
      </c>
      <c r="R25" s="5">
        <v>6143.7321303568533</v>
      </c>
      <c r="S25" s="5">
        <v>1569.0727370739598</v>
      </c>
      <c r="T25" s="5">
        <v>3647.0943488717116</v>
      </c>
      <c r="U25" s="5">
        <v>2295.4400640865038</v>
      </c>
      <c r="V25" s="5">
        <v>2470.7062730502926</v>
      </c>
      <c r="W25" s="5">
        <v>1278.7662305717445</v>
      </c>
      <c r="X25" s="5">
        <v>4522.6396630512772</v>
      </c>
      <c r="Y25" s="5">
        <f t="shared" si="6"/>
        <v>25139.402039855617</v>
      </c>
      <c r="Z25" s="5">
        <f t="shared" si="7"/>
        <v>44.912697531383508</v>
      </c>
      <c r="AA25" s="5">
        <v>55973.930361873798</v>
      </c>
      <c r="AB25" s="5">
        <v>6372.5997095788534</v>
      </c>
      <c r="AC25" s="5">
        <v>3296.1222190693725</v>
      </c>
      <c r="AD25" s="5">
        <v>581.19413785404413</v>
      </c>
      <c r="AE25" s="5">
        <v>518.26826492266684</v>
      </c>
      <c r="AF25" s="5">
        <v>1714.0845051992394</v>
      </c>
      <c r="AG25" s="5">
        <v>8038.8246416474749</v>
      </c>
      <c r="AH25" s="5">
        <v>1973.4881811810901</v>
      </c>
      <c r="AI25" s="5">
        <f t="shared" si="4"/>
        <v>22494.581659452742</v>
      </c>
      <c r="AJ25" s="20">
        <f t="shared" si="8"/>
        <v>40.187604325843004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spans="2:59" x14ac:dyDescent="0.3">
      <c r="B26" s="6">
        <v>2011</v>
      </c>
      <c r="C26" s="5" t="s">
        <v>34</v>
      </c>
      <c r="D26">
        <v>154.68333333333334</v>
      </c>
      <c r="E26" s="5">
        <v>59717.116372617929</v>
      </c>
      <c r="F26" s="5">
        <v>22.77</v>
      </c>
      <c r="G26" s="5">
        <f t="shared" si="5"/>
        <v>2622.6225899261276</v>
      </c>
      <c r="H26" s="6">
        <f t="shared" si="0"/>
        <v>1695.478454860119</v>
      </c>
      <c r="I26" s="5">
        <v>160.71711387320855</v>
      </c>
      <c r="J26" s="5">
        <v>53.753320932037276</v>
      </c>
      <c r="K26" s="5">
        <v>52.950306565041529</v>
      </c>
      <c r="L26" s="6">
        <f t="shared" si="1"/>
        <v>9.4791599039498315</v>
      </c>
      <c r="M26" s="6">
        <f t="shared" si="2"/>
        <v>3.1703924504585963</v>
      </c>
      <c r="N26" s="6">
        <f t="shared" si="3"/>
        <v>3.1230303406839846</v>
      </c>
      <c r="O26" s="5">
        <v>2573.9289654420268</v>
      </c>
      <c r="P26" s="5">
        <v>1080.7379140084279</v>
      </c>
      <c r="Q26" s="5">
        <v>128.77768033063964</v>
      </c>
      <c r="R26" s="5">
        <v>6646.3307638602664</v>
      </c>
      <c r="S26" s="5">
        <v>1664.7450267220122</v>
      </c>
      <c r="T26" s="5">
        <v>3847.6839410880048</v>
      </c>
      <c r="U26" s="5">
        <v>2522.6064400318683</v>
      </c>
      <c r="V26" s="5">
        <v>2494.2736313188798</v>
      </c>
      <c r="W26" s="5">
        <v>1297.1548977593627</v>
      </c>
      <c r="X26" s="5">
        <v>4895.8634084964579</v>
      </c>
      <c r="Y26" s="5">
        <f t="shared" si="6"/>
        <v>27152.102669057946</v>
      </c>
      <c r="Z26" s="5">
        <f t="shared" si="7"/>
        <v>45.467873074842707</v>
      </c>
      <c r="AA26" s="5">
        <v>59717.116356782382</v>
      </c>
      <c r="AB26" s="5">
        <v>7718.1313196067631</v>
      </c>
      <c r="AC26" s="5">
        <v>3465.3786029080643</v>
      </c>
      <c r="AD26" s="5">
        <v>622.03887004916896</v>
      </c>
      <c r="AE26" s="5">
        <v>494.2170231632424</v>
      </c>
      <c r="AF26" s="5">
        <v>1949.9391692356448</v>
      </c>
      <c r="AG26" s="5">
        <v>8065.2496690514199</v>
      </c>
      <c r="AH26" s="5">
        <v>2106.7230274661474</v>
      </c>
      <c r="AI26" s="5">
        <f t="shared" si="4"/>
        <v>24421.677681480454</v>
      </c>
      <c r="AJ26" s="20">
        <f t="shared" si="8"/>
        <v>40.895607777797125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spans="2:59" x14ac:dyDescent="0.3">
      <c r="B27" s="6">
        <v>2012</v>
      </c>
      <c r="C27" s="5" t="s">
        <v>31</v>
      </c>
      <c r="D27">
        <v>158.26333333333335</v>
      </c>
      <c r="E27" s="5">
        <v>60016.487338032501</v>
      </c>
      <c r="F27" s="5">
        <v>23.099999999999998</v>
      </c>
      <c r="G27" s="5">
        <f t="shared" si="5"/>
        <v>2598.1163349797621</v>
      </c>
      <c r="H27" s="6">
        <f t="shared" si="0"/>
        <v>1641.6413582719276</v>
      </c>
      <c r="I27" s="5">
        <v>185.47190122879434</v>
      </c>
      <c r="J27" s="5">
        <v>52.659525015899412</v>
      </c>
      <c r="K27" s="5">
        <v>75.465806872071369</v>
      </c>
      <c r="L27" s="6">
        <f t="shared" si="1"/>
        <v>11.297954957959343</v>
      </c>
      <c r="M27" s="6">
        <f t="shared" si="2"/>
        <v>3.2077362543626102</v>
      </c>
      <c r="N27" s="6">
        <f t="shared" si="3"/>
        <v>4.5969728096708273</v>
      </c>
      <c r="O27" s="5">
        <v>2573.0960773889451</v>
      </c>
      <c r="P27" s="5">
        <v>1138.6011167465992</v>
      </c>
      <c r="Q27" s="5">
        <v>132.07150733748219</v>
      </c>
      <c r="R27" s="5">
        <v>6705.2005709714476</v>
      </c>
      <c r="S27" s="5">
        <v>1816.762076429774</v>
      </c>
      <c r="T27" s="5">
        <v>3799.7160320502571</v>
      </c>
      <c r="U27" s="5">
        <v>2403.457988653035</v>
      </c>
      <c r="V27" s="5">
        <v>2680.6785404474135</v>
      </c>
      <c r="W27" s="5">
        <v>1346.7524072134129</v>
      </c>
      <c r="X27" s="5">
        <v>4596.5703184921294</v>
      </c>
      <c r="Y27" s="5">
        <f t="shared" si="6"/>
        <v>27192.906635730498</v>
      </c>
      <c r="Z27" s="5">
        <f t="shared" si="7"/>
        <v>45.309060658954422</v>
      </c>
      <c r="AA27" s="5">
        <v>60016.487299116772</v>
      </c>
      <c r="AB27" s="5">
        <v>5917.6926823805888</v>
      </c>
      <c r="AC27" s="5">
        <v>3579.8053205807341</v>
      </c>
      <c r="AD27" s="5">
        <v>577.80333865841635</v>
      </c>
      <c r="AE27" s="5">
        <v>203.78470607409957</v>
      </c>
      <c r="AF27" s="5">
        <v>1949.2095389053763</v>
      </c>
      <c r="AG27" s="5">
        <v>9344.68715012949</v>
      </c>
      <c r="AH27" s="5">
        <v>2160.7545521338197</v>
      </c>
      <c r="AI27" s="5">
        <f t="shared" si="4"/>
        <v>23733.737288862525</v>
      </c>
      <c r="AJ27" s="20">
        <f t="shared" si="8"/>
        <v>39.545362211179928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spans="2:59" x14ac:dyDescent="0.3">
      <c r="B28" s="6">
        <v>2012</v>
      </c>
      <c r="C28" s="5" t="s">
        <v>32</v>
      </c>
      <c r="D28">
        <v>160.31666666666663</v>
      </c>
      <c r="E28" s="5">
        <v>58823.597247776888</v>
      </c>
      <c r="F28" s="5">
        <v>23.310000000000002</v>
      </c>
      <c r="G28" s="5">
        <f t="shared" si="5"/>
        <v>2523.5348454644736</v>
      </c>
      <c r="H28" s="6">
        <f t="shared" si="0"/>
        <v>1574.0938842693465</v>
      </c>
      <c r="I28" s="5">
        <v>171.34465528591628</v>
      </c>
      <c r="J28" s="5">
        <v>50.70965859543756</v>
      </c>
      <c r="K28" s="5">
        <v>79.887607510838038</v>
      </c>
      <c r="L28" s="6">
        <f t="shared" si="1"/>
        <v>10.885288164717698</v>
      </c>
      <c r="M28" s="6">
        <f t="shared" si="2"/>
        <v>3.22151423763238</v>
      </c>
      <c r="N28" s="6">
        <f t="shared" si="3"/>
        <v>5.0751488401798728</v>
      </c>
      <c r="O28" s="5">
        <v>2736.6167571337464</v>
      </c>
      <c r="P28" s="5">
        <v>1402.8896895519729</v>
      </c>
      <c r="Q28" s="5">
        <v>130.07154322725424</v>
      </c>
      <c r="R28" s="5">
        <v>6844.6874655442789</v>
      </c>
      <c r="S28" s="5">
        <v>1737.2245023995363</v>
      </c>
      <c r="T28" s="5">
        <v>3859.4353761265102</v>
      </c>
      <c r="U28" s="5">
        <v>2533.9115400712408</v>
      </c>
      <c r="V28" s="5">
        <v>2663.3617944290945</v>
      </c>
      <c r="W28" s="5">
        <v>1436.7290364363582</v>
      </c>
      <c r="X28" s="5">
        <v>4945.6115247821572</v>
      </c>
      <c r="Y28" s="5">
        <f t="shared" si="6"/>
        <v>28290.539229702154</v>
      </c>
      <c r="Z28" s="5">
        <f t="shared" si="7"/>
        <v>48.093861259908927</v>
      </c>
      <c r="AA28" s="5">
        <v>58823.597208829568</v>
      </c>
      <c r="AB28" s="5">
        <v>5302.2275758113337</v>
      </c>
      <c r="AC28" s="5">
        <v>3647.8617099682529</v>
      </c>
      <c r="AD28" s="5">
        <v>518.67321880997304</v>
      </c>
      <c r="AE28" s="5">
        <v>331.85336127338059</v>
      </c>
      <c r="AF28" s="5">
        <v>1923.8591584596254</v>
      </c>
      <c r="AG28" s="5">
        <v>7539.1869004474011</v>
      </c>
      <c r="AH28" s="5">
        <v>2248.8278405996261</v>
      </c>
      <c r="AI28" s="5">
        <f t="shared" si="4"/>
        <v>21512.489765369588</v>
      </c>
      <c r="AJ28" s="20">
        <f t="shared" si="8"/>
        <v>36.571190450998991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 spans="2:59" x14ac:dyDescent="0.3">
      <c r="B29" s="6">
        <v>2012</v>
      </c>
      <c r="C29" s="5" t="s">
        <v>33</v>
      </c>
      <c r="D29">
        <v>161.04</v>
      </c>
      <c r="E29" s="5">
        <v>61914.525785142803</v>
      </c>
      <c r="F29" s="5">
        <v>23.713333333333335</v>
      </c>
      <c r="G29" s="5">
        <f t="shared" si="5"/>
        <v>2610.9583547291031</v>
      </c>
      <c r="H29" s="6">
        <f t="shared" si="0"/>
        <v>1621.3104537562738</v>
      </c>
      <c r="I29" s="5">
        <v>180.54715845976853</v>
      </c>
      <c r="J29" s="5">
        <v>50.959434209169409</v>
      </c>
      <c r="K29" s="5">
        <v>70.459120718387183</v>
      </c>
      <c r="L29" s="6">
        <f t="shared" si="1"/>
        <v>11.13587826695834</v>
      </c>
      <c r="M29" s="6">
        <f t="shared" si="2"/>
        <v>3.143101562757824</v>
      </c>
      <c r="N29" s="6">
        <f t="shared" si="3"/>
        <v>4.345813015338706</v>
      </c>
      <c r="O29" s="5">
        <v>2518.3987593237562</v>
      </c>
      <c r="P29" s="5">
        <v>1381.5661728408872</v>
      </c>
      <c r="Q29" s="5">
        <v>126.8139938565123</v>
      </c>
      <c r="R29" s="5">
        <v>6954.4527780005128</v>
      </c>
      <c r="S29" s="5">
        <v>1791.922519274314</v>
      </c>
      <c r="T29" s="5">
        <v>3962.6867272548843</v>
      </c>
      <c r="U29" s="5">
        <v>2596.8673262682355</v>
      </c>
      <c r="V29" s="5">
        <v>2684.8819340024747</v>
      </c>
      <c r="W29" s="5">
        <v>1411.7349565908257</v>
      </c>
      <c r="X29" s="5">
        <v>5082.944707093433</v>
      </c>
      <c r="Y29" s="5">
        <f t="shared" si="6"/>
        <v>28512.269874505837</v>
      </c>
      <c r="Z29" s="5">
        <f t="shared" si="7"/>
        <v>46.051018744251074</v>
      </c>
      <c r="AA29" s="5">
        <v>61914.525784655438</v>
      </c>
      <c r="AB29" s="5">
        <v>6358.8716837313577</v>
      </c>
      <c r="AC29" s="5">
        <v>3797.5986804966633</v>
      </c>
      <c r="AD29" s="5">
        <v>668.53596719944221</v>
      </c>
      <c r="AE29" s="5">
        <v>550.08284475415246</v>
      </c>
      <c r="AF29" s="5">
        <v>2101.3805310174043</v>
      </c>
      <c r="AG29" s="5">
        <v>8938.2673434519656</v>
      </c>
      <c r="AH29" s="5">
        <v>2252.9052526215755</v>
      </c>
      <c r="AI29" s="5">
        <f t="shared" si="4"/>
        <v>24667.642303272562</v>
      </c>
      <c r="AJ29" s="20">
        <f t="shared" si="8"/>
        <v>39.841445913789201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 spans="2:59" x14ac:dyDescent="0.3">
      <c r="B30" s="6">
        <v>2012</v>
      </c>
      <c r="C30" s="5" t="s">
        <v>34</v>
      </c>
      <c r="D30">
        <v>164.60999999999999</v>
      </c>
      <c r="E30" s="5">
        <v>67239.26059409653</v>
      </c>
      <c r="F30" s="5">
        <v>23.966666666666669</v>
      </c>
      <c r="G30" s="5">
        <f t="shared" si="5"/>
        <v>2805.5324309080606</v>
      </c>
      <c r="H30" s="6">
        <f t="shared" si="0"/>
        <v>1704.3511517575243</v>
      </c>
      <c r="I30" s="5">
        <v>174.5826717051732</v>
      </c>
      <c r="J30" s="5">
        <v>55.3819910528129</v>
      </c>
      <c r="K30" s="5">
        <v>67.316009301201987</v>
      </c>
      <c r="L30" s="6">
        <f t="shared" si="1"/>
        <v>10.243351056215371</v>
      </c>
      <c r="M30" s="6">
        <f t="shared" si="2"/>
        <v>3.249447216068301</v>
      </c>
      <c r="N30" s="6">
        <f t="shared" si="3"/>
        <v>3.9496561041300566</v>
      </c>
      <c r="O30" s="5">
        <v>3624.2178306774199</v>
      </c>
      <c r="P30" s="5">
        <v>1373.198035051676</v>
      </c>
      <c r="Q30" s="5">
        <v>123.32670678747503</v>
      </c>
      <c r="R30" s="5">
        <v>7055.6108620675468</v>
      </c>
      <c r="S30" s="5">
        <v>2010.630991027771</v>
      </c>
      <c r="T30" s="5">
        <v>4256.6801287237167</v>
      </c>
      <c r="U30" s="5">
        <v>2904.7331316554828</v>
      </c>
      <c r="V30" s="5">
        <v>2778.6100714469358</v>
      </c>
      <c r="W30" s="5">
        <v>1404.3469576941259</v>
      </c>
      <c r="X30" s="5">
        <v>5565.186037844539</v>
      </c>
      <c r="Y30" s="5">
        <f t="shared" si="6"/>
        <v>31096.540752976689</v>
      </c>
      <c r="Z30" s="5">
        <f t="shared" si="7"/>
        <v>46.247594696699331</v>
      </c>
      <c r="AA30" s="5">
        <v>67239.260672719989</v>
      </c>
      <c r="AB30" s="5">
        <v>6803.475527499083</v>
      </c>
      <c r="AC30" s="5">
        <v>4209.3875028391776</v>
      </c>
      <c r="AD30" s="5">
        <v>662.80145639490684</v>
      </c>
      <c r="AE30" s="5">
        <v>545.19206484287747</v>
      </c>
      <c r="AF30" s="5">
        <v>2409.5599750045212</v>
      </c>
      <c r="AG30" s="5">
        <v>9409.7594457319865</v>
      </c>
      <c r="AH30" s="5">
        <v>2519.4876904268704</v>
      </c>
      <c r="AI30" s="5">
        <f t="shared" si="4"/>
        <v>26559.663662739422</v>
      </c>
      <c r="AJ30" s="20">
        <f t="shared" si="8"/>
        <v>39.500231556702836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 spans="2:59" x14ac:dyDescent="0.3">
      <c r="B31" s="6">
        <v>2013</v>
      </c>
      <c r="C31" s="5" t="s">
        <v>31</v>
      </c>
      <c r="D31">
        <v>169.66666666666666</v>
      </c>
      <c r="E31" s="5">
        <v>65473.321088529789</v>
      </c>
      <c r="F31" s="5">
        <v>24.333333333333332</v>
      </c>
      <c r="G31" s="5">
        <f t="shared" si="5"/>
        <v>2690.684428295745</v>
      </c>
      <c r="H31" s="6">
        <f t="shared" si="0"/>
        <v>1585.8650854395353</v>
      </c>
      <c r="I31" s="5">
        <v>161.45256564513787</v>
      </c>
      <c r="J31" s="5">
        <v>50.546638538663011</v>
      </c>
      <c r="K31" s="5">
        <v>64.268136001095669</v>
      </c>
      <c r="L31" s="6">
        <f t="shared" si="1"/>
        <v>10.180725152946412</v>
      </c>
      <c r="M31" s="6">
        <f t="shared" si="2"/>
        <v>3.1873227428204336</v>
      </c>
      <c r="N31" s="6">
        <f t="shared" si="3"/>
        <v>4.0525601194683745</v>
      </c>
      <c r="O31" s="5">
        <v>3321.5199408915396</v>
      </c>
      <c r="P31" s="5">
        <v>1558.3553519319048</v>
      </c>
      <c r="Q31" s="5">
        <v>141.16461903827474</v>
      </c>
      <c r="R31" s="5">
        <v>6801.4935686276503</v>
      </c>
      <c r="S31" s="5">
        <v>2089.0765686593727</v>
      </c>
      <c r="T31" s="5">
        <v>4089.7472028988386</v>
      </c>
      <c r="U31" s="5">
        <v>2760.4506050825762</v>
      </c>
      <c r="V31" s="5">
        <v>2830.17333306925</v>
      </c>
      <c r="W31" s="5">
        <v>1555.8540896450152</v>
      </c>
      <c r="X31" s="5">
        <v>5373.0555910113662</v>
      </c>
      <c r="Y31" s="5">
        <f t="shared" si="6"/>
        <v>30520.890870855786</v>
      </c>
      <c r="Z31" s="5">
        <f t="shared" si="7"/>
        <v>46.615766961321313</v>
      </c>
      <c r="AA31" s="5">
        <v>65473.321282432204</v>
      </c>
      <c r="AB31" s="5">
        <v>5445.1029494832492</v>
      </c>
      <c r="AC31" s="5">
        <v>4084.9223610813615</v>
      </c>
      <c r="AD31" s="5">
        <v>626.91558194484094</v>
      </c>
      <c r="AE31" s="5">
        <v>205.66278870343416</v>
      </c>
      <c r="AF31" s="5">
        <v>2369.5139916208013</v>
      </c>
      <c r="AG31" s="5">
        <v>9415.2672437787787</v>
      </c>
      <c r="AH31" s="5">
        <v>2734.8334012587525</v>
      </c>
      <c r="AI31" s="5">
        <f t="shared" si="4"/>
        <v>24882.218317871215</v>
      </c>
      <c r="AJ31" s="20">
        <f t="shared" si="8"/>
        <v>38.003598764352908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 spans="2:59" x14ac:dyDescent="0.3">
      <c r="B32" s="6">
        <v>2013</v>
      </c>
      <c r="C32" s="5" t="s">
        <v>32</v>
      </c>
      <c r="D32">
        <v>172.47666666666669</v>
      </c>
      <c r="E32" s="5">
        <v>66888.87377715786</v>
      </c>
      <c r="F32" s="5">
        <v>24.543333333333333</v>
      </c>
      <c r="G32" s="5">
        <f t="shared" si="5"/>
        <v>2725.3377880140374</v>
      </c>
      <c r="H32" s="6">
        <f t="shared" si="0"/>
        <v>1580.1197000641848</v>
      </c>
      <c r="I32" s="5">
        <v>163.66450836559929</v>
      </c>
      <c r="J32" s="5">
        <v>51.088176247883034</v>
      </c>
      <c r="K32" s="5">
        <v>71.263622083148974</v>
      </c>
      <c r="L32" s="6">
        <f t="shared" si="1"/>
        <v>10.357728491009333</v>
      </c>
      <c r="M32" s="6">
        <f t="shared" si="2"/>
        <v>3.2331839319393221</v>
      </c>
      <c r="N32" s="6">
        <f t="shared" si="3"/>
        <v>4.5100141514756276</v>
      </c>
      <c r="O32" s="5">
        <v>3571.7377478830626</v>
      </c>
      <c r="P32" s="5">
        <v>1873.3013901180225</v>
      </c>
      <c r="Q32" s="5">
        <v>147.41207392721194</v>
      </c>
      <c r="R32" s="5">
        <v>7245.2281684350655</v>
      </c>
      <c r="S32" s="5">
        <v>1917.8380973877167</v>
      </c>
      <c r="T32" s="5">
        <v>4345.8981742048009</v>
      </c>
      <c r="U32" s="5">
        <v>2894.9237839723642</v>
      </c>
      <c r="V32" s="5">
        <v>2910.4566368227329</v>
      </c>
      <c r="W32" s="5">
        <v>1608.4495948809349</v>
      </c>
      <c r="X32" s="5">
        <v>5684.3287856252637</v>
      </c>
      <c r="Y32" s="5">
        <f t="shared" si="6"/>
        <v>32199.574453257177</v>
      </c>
      <c r="Z32" s="5">
        <f t="shared" si="7"/>
        <v>48.138909428850852</v>
      </c>
      <c r="AA32" s="5">
        <v>66888.873959323988</v>
      </c>
      <c r="AB32" s="5">
        <v>5966.0072799070704</v>
      </c>
      <c r="AC32" s="5">
        <v>3962.0234219439858</v>
      </c>
      <c r="AD32" s="5">
        <v>553.11645205493664</v>
      </c>
      <c r="AE32" s="5">
        <v>382.10426785099912</v>
      </c>
      <c r="AF32" s="5">
        <v>2080.7657327173911</v>
      </c>
      <c r="AG32" s="5">
        <v>8991.997931162985</v>
      </c>
      <c r="AH32" s="5">
        <v>2666.8715753458255</v>
      </c>
      <c r="AI32" s="5">
        <f t="shared" si="4"/>
        <v>24602.886660983189</v>
      </c>
      <c r="AJ32" s="20">
        <f t="shared" si="8"/>
        <v>36.781732453658186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 spans="2:59" x14ac:dyDescent="0.3">
      <c r="B33" s="6">
        <v>2013</v>
      </c>
      <c r="C33" s="5" t="s">
        <v>33</v>
      </c>
      <c r="D33">
        <v>173.35666666666665</v>
      </c>
      <c r="E33" s="5">
        <v>68629.668383801487</v>
      </c>
      <c r="F33" s="5">
        <v>24.933333333333334</v>
      </c>
      <c r="G33" s="5">
        <f t="shared" si="5"/>
        <v>2752.5268068369578</v>
      </c>
      <c r="H33" s="6">
        <f t="shared" si="0"/>
        <v>1587.7824947624117</v>
      </c>
      <c r="I33" s="5">
        <v>179.75502376132695</v>
      </c>
      <c r="J33" s="5">
        <v>51.087301767941256</v>
      </c>
      <c r="K33" s="5">
        <v>61.428638652092452</v>
      </c>
      <c r="L33" s="6">
        <f t="shared" si="1"/>
        <v>11.321136512984712</v>
      </c>
      <c r="M33" s="6">
        <f t="shared" si="2"/>
        <v>3.217525192301967</v>
      </c>
      <c r="N33" s="6">
        <f t="shared" si="3"/>
        <v>3.8688320884457381</v>
      </c>
      <c r="O33" s="5">
        <v>3335.8363649799589</v>
      </c>
      <c r="P33" s="5">
        <v>1726.6895360078756</v>
      </c>
      <c r="Q33" s="5">
        <v>135.13479493307719</v>
      </c>
      <c r="R33" s="5">
        <v>7168.0121510854024</v>
      </c>
      <c r="S33" s="5">
        <v>1979.9553664052389</v>
      </c>
      <c r="T33" s="5">
        <v>4319.5781786758062</v>
      </c>
      <c r="U33" s="5">
        <v>3002.5606125362879</v>
      </c>
      <c r="V33" s="5">
        <v>2943.4986211790774</v>
      </c>
      <c r="W33" s="5">
        <v>1593.0230732904836</v>
      </c>
      <c r="X33" s="5">
        <v>5517.9901826450523</v>
      </c>
      <c r="Y33" s="5">
        <f t="shared" si="6"/>
        <v>31722.278881738257</v>
      </c>
      <c r="Z33" s="5">
        <f t="shared" si="7"/>
        <v>46.222398610229227</v>
      </c>
      <c r="AA33" s="5">
        <v>68629.66837622739</v>
      </c>
      <c r="AB33" s="5">
        <v>6558.7134884546476</v>
      </c>
      <c r="AC33" s="5">
        <v>3909.5341915805616</v>
      </c>
      <c r="AD33" s="5">
        <v>664.73148608379995</v>
      </c>
      <c r="AE33" s="5">
        <v>785.5901541554789</v>
      </c>
      <c r="AF33" s="5">
        <v>2086.4259712988423</v>
      </c>
      <c r="AG33" s="5">
        <v>10306.107962247439</v>
      </c>
      <c r="AH33" s="5">
        <v>2772.938176148577</v>
      </c>
      <c r="AI33" s="5">
        <f t="shared" si="4"/>
        <v>27084.041429969348</v>
      </c>
      <c r="AJ33" s="20">
        <f t="shared" si="8"/>
        <v>39.464042404364847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 spans="2:59" x14ac:dyDescent="0.3">
      <c r="B34" s="6">
        <v>2013</v>
      </c>
      <c r="C34" s="5" t="s">
        <v>34</v>
      </c>
      <c r="D34">
        <v>174.91666666666666</v>
      </c>
      <c r="E34" s="5">
        <v>70537.963202972969</v>
      </c>
      <c r="F34" s="5">
        <v>25.22</v>
      </c>
      <c r="G34" s="5">
        <f t="shared" si="5"/>
        <v>2796.9057574533294</v>
      </c>
      <c r="H34" s="6">
        <f t="shared" si="0"/>
        <v>1598.9932867765581</v>
      </c>
      <c r="I34" s="5">
        <v>180.1925438956595</v>
      </c>
      <c r="J34" s="5">
        <v>55.309039577556234</v>
      </c>
      <c r="K34" s="5">
        <v>49.159941063484069</v>
      </c>
      <c r="L34" s="6">
        <f t="shared" si="1"/>
        <v>11.269124478872152</v>
      </c>
      <c r="M34" s="6">
        <f t="shared" si="2"/>
        <v>3.4589913563086188</v>
      </c>
      <c r="N34" s="6">
        <f t="shared" si="3"/>
        <v>3.0744307352650968</v>
      </c>
      <c r="O34" s="5">
        <v>3168.4800366850209</v>
      </c>
      <c r="P34" s="5">
        <v>1781.248679744353</v>
      </c>
      <c r="Q34" s="5">
        <v>135.40440775239603</v>
      </c>
      <c r="R34" s="5">
        <v>7774.7487223961316</v>
      </c>
      <c r="S34" s="5">
        <v>2213.5202703656773</v>
      </c>
      <c r="T34" s="5">
        <v>4524.5771853310134</v>
      </c>
      <c r="U34" s="5">
        <v>3392.1233469781973</v>
      </c>
      <c r="V34" s="5">
        <v>3105.8108808968072</v>
      </c>
      <c r="W34" s="5">
        <v>1616.2598392294278</v>
      </c>
      <c r="X34" s="5">
        <v>5647.8203902413043</v>
      </c>
      <c r="Y34" s="5">
        <f t="shared" si="6"/>
        <v>33359.993759620324</v>
      </c>
      <c r="Z34" s="5">
        <f t="shared" si="7"/>
        <v>47.293673390823862</v>
      </c>
      <c r="AA34" s="5">
        <v>70537.962834777354</v>
      </c>
      <c r="AB34" s="5">
        <v>5799.7998550166631</v>
      </c>
      <c r="AC34" s="5">
        <v>4274.3267984787508</v>
      </c>
      <c r="AD34" s="5">
        <v>707.61112309309181</v>
      </c>
      <c r="AE34" s="5">
        <v>851.58038836686239</v>
      </c>
      <c r="AF34" s="5">
        <v>2144.9780935767599</v>
      </c>
      <c r="AG34" s="5">
        <v>10643.604148818658</v>
      </c>
      <c r="AH34" s="5">
        <v>3009.0753197398039</v>
      </c>
      <c r="AI34" s="5">
        <f t="shared" si="4"/>
        <v>27430.97572709059</v>
      </c>
      <c r="AJ34" s="20">
        <f t="shared" si="8"/>
        <v>38.888244889270162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 spans="2:59" x14ac:dyDescent="0.3">
      <c r="B35" s="6">
        <v>2014</v>
      </c>
      <c r="C35" s="5" t="s">
        <v>31</v>
      </c>
      <c r="D35">
        <v>178.46</v>
      </c>
      <c r="E35" s="5">
        <v>73743.510997020538</v>
      </c>
      <c r="F35" s="5">
        <v>25.553333333333331</v>
      </c>
      <c r="G35" s="5">
        <f t="shared" si="5"/>
        <v>2885.866592630598</v>
      </c>
      <c r="H35" s="6">
        <f t="shared" ref="H35:H66" si="9">(G35/D35)*100</f>
        <v>1617.0943587529966</v>
      </c>
      <c r="I35" s="5">
        <v>183.74664022458046</v>
      </c>
      <c r="J35" s="5">
        <v>51.768579666936979</v>
      </c>
      <c r="K35" s="5">
        <v>61.695529697009398</v>
      </c>
      <c r="L35" s="6">
        <f t="shared" ref="L35:L66" si="10">(I35/H35)*100</f>
        <v>11.362765520144077</v>
      </c>
      <c r="M35" s="6">
        <f t="shared" ref="M35:M66" si="11">(J35/H35)*100</f>
        <v>3.2013332670863877</v>
      </c>
      <c r="N35" s="6">
        <f t="shared" ref="N35:N66" si="12">(K35/H35)*100</f>
        <v>3.8152090113396464</v>
      </c>
      <c r="O35" s="5">
        <v>3247.1625371995347</v>
      </c>
      <c r="P35" s="5">
        <v>2025.4664117395273</v>
      </c>
      <c r="Q35" s="5">
        <v>138.88704043953976</v>
      </c>
      <c r="R35" s="5">
        <v>7627.6186820842458</v>
      </c>
      <c r="S35" s="5">
        <v>2216.5330944654493</v>
      </c>
      <c r="T35" s="5">
        <v>4509.7609616943037</v>
      </c>
      <c r="U35" s="5">
        <v>3195.797366115979</v>
      </c>
      <c r="V35" s="5">
        <v>3468.6972771498563</v>
      </c>
      <c r="W35" s="5">
        <v>1787.7656077457011</v>
      </c>
      <c r="X35" s="5">
        <v>5954.5800816521223</v>
      </c>
      <c r="Y35" s="5">
        <f t="shared" si="6"/>
        <v>34172.269060286257</v>
      </c>
      <c r="Z35" s="5">
        <f t="shared" si="7"/>
        <v>46.33935788817233</v>
      </c>
      <c r="AA35" s="5">
        <v>73743.51009082151</v>
      </c>
      <c r="AB35" s="5">
        <v>5271.3574471615557</v>
      </c>
      <c r="AC35" s="5">
        <v>4741.259413073527</v>
      </c>
      <c r="AD35" s="5">
        <v>688.95048535395927</v>
      </c>
      <c r="AE35" s="5">
        <v>312.89699015091912</v>
      </c>
      <c r="AF35" s="5">
        <v>1869.1288076134242</v>
      </c>
      <c r="AG35" s="5">
        <v>11468.87045699187</v>
      </c>
      <c r="AH35" s="5">
        <v>3646.0006015570316</v>
      </c>
      <c r="AI35" s="5">
        <f t="shared" ref="AI35:AI66" si="13">SUM(AB35:AH35)</f>
        <v>27998.464201902287</v>
      </c>
      <c r="AJ35" s="20">
        <f t="shared" si="8"/>
        <v>37.967360337770408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 spans="2:59" x14ac:dyDescent="0.3">
      <c r="B36" s="6">
        <v>2014</v>
      </c>
      <c r="C36" s="5" t="s">
        <v>32</v>
      </c>
      <c r="D36">
        <v>181.56333333333336</v>
      </c>
      <c r="E36" s="5">
        <v>73593.975142704905</v>
      </c>
      <c r="F36" s="5">
        <v>25.813333333333333</v>
      </c>
      <c r="G36" s="5">
        <f t="shared" si="5"/>
        <v>2851.0062684415639</v>
      </c>
      <c r="H36" s="6">
        <f t="shared" si="9"/>
        <v>1570.2544209228536</v>
      </c>
      <c r="I36" s="5">
        <v>169.8637276918148</v>
      </c>
      <c r="J36" s="5">
        <v>51.050222846584894</v>
      </c>
      <c r="K36" s="5">
        <v>74.307436908005556</v>
      </c>
      <c r="L36" s="6">
        <f t="shared" si="10"/>
        <v>10.817592705262644</v>
      </c>
      <c r="M36" s="6">
        <f t="shared" si="11"/>
        <v>3.2510797082540415</v>
      </c>
      <c r="N36" s="6">
        <f t="shared" si="12"/>
        <v>4.7321909060019944</v>
      </c>
      <c r="O36" s="5">
        <v>3369.7513144508589</v>
      </c>
      <c r="P36" s="5">
        <v>2309.8592163855733</v>
      </c>
      <c r="Q36" s="5">
        <v>148.3679755398397</v>
      </c>
      <c r="R36" s="5">
        <v>8261.0559612882334</v>
      </c>
      <c r="S36" s="5">
        <v>2245.688435719569</v>
      </c>
      <c r="T36" s="5">
        <v>4529.3650003961275</v>
      </c>
      <c r="U36" s="5">
        <v>3308.1596691285649</v>
      </c>
      <c r="V36" s="5">
        <v>3444.0283330220673</v>
      </c>
      <c r="W36" s="5">
        <v>1881.583233975836</v>
      </c>
      <c r="X36" s="5">
        <v>6276.515760960373</v>
      </c>
      <c r="Y36" s="5">
        <f t="shared" si="6"/>
        <v>35774.374900867042</v>
      </c>
      <c r="Z36" s="5">
        <f t="shared" si="7"/>
        <v>48.610467409604588</v>
      </c>
      <c r="AA36" s="5">
        <v>73593.97431714191</v>
      </c>
      <c r="AB36" s="5">
        <v>5772.8942198044497</v>
      </c>
      <c r="AC36" s="5">
        <v>4357.3736795154364</v>
      </c>
      <c r="AD36" s="5">
        <v>617.41940973087969</v>
      </c>
      <c r="AE36" s="5">
        <v>687.91740943531045</v>
      </c>
      <c r="AF36" s="5">
        <v>1973.9593266181266</v>
      </c>
      <c r="AG36" s="5">
        <v>10202.03596471807</v>
      </c>
      <c r="AH36" s="5">
        <v>3162.2402993099722</v>
      </c>
      <c r="AI36" s="5">
        <f t="shared" si="13"/>
        <v>26773.840309132243</v>
      </c>
      <c r="AJ36" s="20">
        <f t="shared" si="8"/>
        <v>36.380478914964556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 spans="2:59" x14ac:dyDescent="0.3">
      <c r="B37" s="6">
        <v>2014</v>
      </c>
      <c r="C37" s="5" t="s">
        <v>33</v>
      </c>
      <c r="D37">
        <v>184.56333333333336</v>
      </c>
      <c r="E37" s="5">
        <v>78196.960822304129</v>
      </c>
      <c r="F37" s="5">
        <v>26.179999999999996</v>
      </c>
      <c r="G37" s="5">
        <f t="shared" si="5"/>
        <v>2986.8968992476753</v>
      </c>
      <c r="H37" s="6">
        <f t="shared" si="9"/>
        <v>1618.3587743580385</v>
      </c>
      <c r="I37" s="5">
        <v>180.88347963664626</v>
      </c>
      <c r="J37" s="5">
        <v>50.358606408883098</v>
      </c>
      <c r="K37" s="5">
        <v>62.885818338330317</v>
      </c>
      <c r="L37" s="6">
        <f t="shared" si="10"/>
        <v>11.176970304894111</v>
      </c>
      <c r="M37" s="6">
        <f t="shared" si="11"/>
        <v>3.111708429971535</v>
      </c>
      <c r="N37" s="6">
        <f t="shared" si="12"/>
        <v>3.8857773279151595</v>
      </c>
      <c r="O37" s="5">
        <v>3282.9257837203836</v>
      </c>
      <c r="P37" s="5">
        <v>2412.9558653797612</v>
      </c>
      <c r="Q37" s="5">
        <v>141.63662828560015</v>
      </c>
      <c r="R37" s="5">
        <v>8264.6164656561177</v>
      </c>
      <c r="S37" s="5">
        <v>2265.8538651710946</v>
      </c>
      <c r="T37" s="5">
        <v>4725.9207967205502</v>
      </c>
      <c r="U37" s="5">
        <v>3412.5296821241504</v>
      </c>
      <c r="V37" s="5">
        <v>3343.7953032472483</v>
      </c>
      <c r="W37" s="5">
        <v>1954.2021693128734</v>
      </c>
      <c r="X37" s="5">
        <v>6214.3326766630253</v>
      </c>
      <c r="Y37" s="5">
        <f t="shared" si="6"/>
        <v>36018.769236280801</v>
      </c>
      <c r="Z37" s="5">
        <f t="shared" si="7"/>
        <v>46.061597353885077</v>
      </c>
      <c r="AA37" s="5">
        <v>78196.960820862179</v>
      </c>
      <c r="AB37" s="5">
        <v>7530.4387411520229</v>
      </c>
      <c r="AC37" s="5">
        <v>4696.2382940859325</v>
      </c>
      <c r="AD37" s="5">
        <v>752.33658843446312</v>
      </c>
      <c r="AE37" s="5">
        <v>969.58534084201904</v>
      </c>
      <c r="AF37" s="5">
        <v>2084.8888911037816</v>
      </c>
      <c r="AG37" s="5">
        <v>11812.455648074103</v>
      </c>
      <c r="AH37" s="5">
        <v>3261.3371446869437</v>
      </c>
      <c r="AI37" s="5">
        <f t="shared" si="13"/>
        <v>31107.280648379266</v>
      </c>
      <c r="AJ37" s="20">
        <f t="shared" si="8"/>
        <v>39.780677307448691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 spans="2:59" x14ac:dyDescent="0.3">
      <c r="B38" s="6">
        <v>2014</v>
      </c>
      <c r="C38" s="5" t="s">
        <v>34</v>
      </c>
      <c r="D38">
        <v>187.06000000000003</v>
      </c>
      <c r="E38" s="5">
        <v>82868.676402679179</v>
      </c>
      <c r="F38" s="5">
        <v>26.429999999999996</v>
      </c>
      <c r="G38" s="5">
        <f t="shared" si="5"/>
        <v>3135.4020583684901</v>
      </c>
      <c r="H38" s="6">
        <f t="shared" si="9"/>
        <v>1676.1477912800651</v>
      </c>
      <c r="I38" s="5">
        <v>172.06421813185122</v>
      </c>
      <c r="J38" s="5">
        <v>53.642062155281707</v>
      </c>
      <c r="K38" s="5">
        <v>46.157007443677003</v>
      </c>
      <c r="L38" s="6">
        <f t="shared" si="10"/>
        <v>10.265456245982145</v>
      </c>
      <c r="M38" s="6">
        <f t="shared" si="11"/>
        <v>3.2003181601495623</v>
      </c>
      <c r="N38" s="6">
        <f t="shared" si="12"/>
        <v>2.753755228733568</v>
      </c>
      <c r="O38" s="5">
        <v>4509.3650100190789</v>
      </c>
      <c r="P38" s="5">
        <v>2223.6582842570156</v>
      </c>
      <c r="Q38" s="5">
        <v>140.53355566037493</v>
      </c>
      <c r="R38" s="5">
        <v>9016.1347068685282</v>
      </c>
      <c r="S38" s="5">
        <v>2698.8101597860673</v>
      </c>
      <c r="T38" s="5">
        <v>4940.3833272410529</v>
      </c>
      <c r="U38" s="5">
        <v>3907.9080472790511</v>
      </c>
      <c r="V38" s="5">
        <v>3667.3383151325711</v>
      </c>
      <c r="W38" s="5">
        <v>2013.504878659842</v>
      </c>
      <c r="X38" s="5">
        <v>6617.7369390633294</v>
      </c>
      <c r="Y38" s="5">
        <f t="shared" si="6"/>
        <v>39735.373223966919</v>
      </c>
      <c r="Z38" s="5">
        <f t="shared" si="7"/>
        <v>47.94980940647843</v>
      </c>
      <c r="AA38" s="5">
        <v>82868.678136181145</v>
      </c>
      <c r="AB38" s="5">
        <v>8339.0523867771753</v>
      </c>
      <c r="AC38" s="5">
        <v>4883.8407688807974</v>
      </c>
      <c r="AD38" s="5">
        <v>887.0430635251563</v>
      </c>
      <c r="AE38" s="5">
        <v>1022.5272235210799</v>
      </c>
      <c r="AF38" s="5">
        <v>2089.0886086463124</v>
      </c>
      <c r="AG38" s="5">
        <v>11953.403323319817</v>
      </c>
      <c r="AH38" s="5">
        <v>3458.6536224748684</v>
      </c>
      <c r="AI38" s="5">
        <f t="shared" si="13"/>
        <v>32633.608997145206</v>
      </c>
      <c r="AJ38" s="20">
        <f t="shared" si="8"/>
        <v>39.379907742123258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 spans="2:59" x14ac:dyDescent="0.3">
      <c r="B39" s="6">
        <v>2015</v>
      </c>
      <c r="C39" s="5" t="s">
        <v>31</v>
      </c>
      <c r="D39">
        <v>188.50333333333333</v>
      </c>
      <c r="E39" s="5">
        <v>82859.78710512472</v>
      </c>
      <c r="F39" s="5">
        <v>26.743333333333329</v>
      </c>
      <c r="G39" s="5">
        <f t="shared" si="5"/>
        <v>3098.3343053143985</v>
      </c>
      <c r="H39" s="6">
        <f t="shared" si="9"/>
        <v>1643.6496111374151</v>
      </c>
      <c r="I39" s="5">
        <v>160.47794777387318</v>
      </c>
      <c r="J39" s="5">
        <v>51.124533328058924</v>
      </c>
      <c r="K39" s="5">
        <v>61.714559761770808</v>
      </c>
      <c r="L39" s="6">
        <f t="shared" si="10"/>
        <v>9.7635132625877308</v>
      </c>
      <c r="M39" s="6">
        <f t="shared" si="11"/>
        <v>3.1104277323851552</v>
      </c>
      <c r="N39" s="6">
        <f t="shared" si="12"/>
        <v>3.7547272450035121</v>
      </c>
      <c r="O39" s="5">
        <v>4426.379381925246</v>
      </c>
      <c r="P39" s="5">
        <v>2466.987933540323</v>
      </c>
      <c r="Q39" s="5">
        <v>178.9827220607518</v>
      </c>
      <c r="R39" s="5">
        <v>8493.1204863472467</v>
      </c>
      <c r="S39" s="5">
        <v>2733.666310496485</v>
      </c>
      <c r="T39" s="5">
        <v>4879.783515377495</v>
      </c>
      <c r="U39" s="5">
        <v>3580.9825709907668</v>
      </c>
      <c r="V39" s="5">
        <v>3747.9763265123174</v>
      </c>
      <c r="W39" s="5">
        <v>2090.7717592619492</v>
      </c>
      <c r="X39" s="5">
        <v>6583.1669881582766</v>
      </c>
      <c r="Y39" s="5">
        <f t="shared" si="6"/>
        <v>39181.817994670855</v>
      </c>
      <c r="Z39" s="5">
        <f t="shared" si="7"/>
        <v>47.286889588355749</v>
      </c>
      <c r="AA39" s="5">
        <v>82859.791235495548</v>
      </c>
      <c r="AB39" s="5">
        <v>6375.5973705696551</v>
      </c>
      <c r="AC39" s="5">
        <v>4905.661838566296</v>
      </c>
      <c r="AD39" s="5">
        <v>859.22182997574453</v>
      </c>
      <c r="AE39" s="5">
        <v>419.77663589454386</v>
      </c>
      <c r="AF39" s="5">
        <v>1941.3660786764351</v>
      </c>
      <c r="AG39" s="5">
        <v>12200.376144485357</v>
      </c>
      <c r="AH39" s="5">
        <v>4089.6909143006151</v>
      </c>
      <c r="AI39" s="5">
        <f t="shared" si="13"/>
        <v>30791.690812468649</v>
      </c>
      <c r="AJ39" s="20">
        <f t="shared" si="8"/>
        <v>37.161197673013298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 spans="2:59" x14ac:dyDescent="0.3">
      <c r="B40" s="6">
        <v>2015</v>
      </c>
      <c r="C40" s="5" t="s">
        <v>32</v>
      </c>
      <c r="D40">
        <v>190.45666666666668</v>
      </c>
      <c r="E40" s="5">
        <v>83016.504734721573</v>
      </c>
      <c r="F40" s="5">
        <v>27.033333333333331</v>
      </c>
      <c r="G40" s="5">
        <f t="shared" si="5"/>
        <v>3070.8941332202803</v>
      </c>
      <c r="H40" s="6">
        <f t="shared" si="9"/>
        <v>1612.3846893713076</v>
      </c>
      <c r="I40" s="5">
        <v>154.22956549501987</v>
      </c>
      <c r="J40" s="5">
        <v>51.1726741934527</v>
      </c>
      <c r="K40" s="5">
        <v>63.50461936337053</v>
      </c>
      <c r="L40" s="6">
        <f t="shared" si="10"/>
        <v>9.5653082364082884</v>
      </c>
      <c r="M40" s="6">
        <f t="shared" si="11"/>
        <v>3.173726129426699</v>
      </c>
      <c r="N40" s="6">
        <f t="shared" si="12"/>
        <v>3.938552616009515</v>
      </c>
      <c r="O40" s="5">
        <v>5036.6541312430145</v>
      </c>
      <c r="P40" s="5">
        <v>2695.0497202656297</v>
      </c>
      <c r="Q40" s="5">
        <v>201.29932164125947</v>
      </c>
      <c r="R40" s="5">
        <v>8934.4093919418283</v>
      </c>
      <c r="S40" s="5">
        <v>2621.8645791018262</v>
      </c>
      <c r="T40" s="5">
        <v>4788.9321149409316</v>
      </c>
      <c r="U40" s="5">
        <v>3682.634287150177</v>
      </c>
      <c r="V40" s="5">
        <v>3940.7145651389865</v>
      </c>
      <c r="W40" s="5">
        <v>2151.6132815284941</v>
      </c>
      <c r="X40" s="5">
        <v>6776.4100459946112</v>
      </c>
      <c r="Y40" s="5">
        <f t="shared" si="6"/>
        <v>40829.581438946763</v>
      </c>
      <c r="Z40" s="5">
        <f t="shared" si="7"/>
        <v>49.18248452123202</v>
      </c>
      <c r="AA40" s="5">
        <v>83016.5084915966</v>
      </c>
      <c r="AB40" s="5">
        <v>6802.2762131931067</v>
      </c>
      <c r="AC40" s="5">
        <v>5171.7291383363699</v>
      </c>
      <c r="AD40" s="5">
        <v>624.14666681956021</v>
      </c>
      <c r="AE40" s="5">
        <v>604.24839865192143</v>
      </c>
      <c r="AF40" s="5">
        <v>2008.7724981419103</v>
      </c>
      <c r="AG40" s="5">
        <v>10961.387921401376</v>
      </c>
      <c r="AH40" s="5">
        <v>3664.3289110042429</v>
      </c>
      <c r="AI40" s="5">
        <f t="shared" si="13"/>
        <v>29836.889747548488</v>
      </c>
      <c r="AJ40" s="20">
        <f t="shared" si="8"/>
        <v>35.940911379775443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 spans="2:59" x14ac:dyDescent="0.3">
      <c r="B41" s="6">
        <v>2015</v>
      </c>
      <c r="C41" s="5" t="s">
        <v>33</v>
      </c>
      <c r="D41">
        <v>190.3066666666667</v>
      </c>
      <c r="E41" s="5">
        <v>88372.941302497173</v>
      </c>
      <c r="F41" s="5">
        <v>27.47</v>
      </c>
      <c r="G41" s="5">
        <f t="shared" si="5"/>
        <v>3217.0710339460202</v>
      </c>
      <c r="H41" s="6">
        <f t="shared" si="9"/>
        <v>1690.4668082810304</v>
      </c>
      <c r="I41" s="5">
        <v>169.71060095216166</v>
      </c>
      <c r="J41" s="5">
        <v>51.30333673842339</v>
      </c>
      <c r="K41" s="5">
        <v>50.408665939946594</v>
      </c>
      <c r="L41" s="6">
        <f t="shared" si="10"/>
        <v>10.039274366157697</v>
      </c>
      <c r="M41" s="6">
        <f t="shared" si="11"/>
        <v>3.0348621154290365</v>
      </c>
      <c r="N41" s="6">
        <f t="shared" si="12"/>
        <v>2.981937633617616</v>
      </c>
      <c r="O41" s="5">
        <v>5181.1888186361994</v>
      </c>
      <c r="P41" s="5">
        <v>2834.3088779296054</v>
      </c>
      <c r="Q41" s="5">
        <v>206.71874892256369</v>
      </c>
      <c r="R41" s="5">
        <v>9028.0375517278335</v>
      </c>
      <c r="S41" s="5">
        <v>2734.1025032593971</v>
      </c>
      <c r="T41" s="5">
        <v>5062.4041886330069</v>
      </c>
      <c r="U41" s="5">
        <v>3739.9934377767445</v>
      </c>
      <c r="V41" s="5">
        <v>3942.9958876646824</v>
      </c>
      <c r="W41" s="5">
        <v>2184.4198721328348</v>
      </c>
      <c r="X41" s="5">
        <v>6948.6737874837354</v>
      </c>
      <c r="Y41" s="5">
        <f t="shared" si="6"/>
        <v>41862.843674166601</v>
      </c>
      <c r="Z41" s="5">
        <f t="shared" si="7"/>
        <v>47.370657892696407</v>
      </c>
      <c r="AA41" s="5">
        <v>88372.941260376712</v>
      </c>
      <c r="AB41" s="5">
        <v>7394.6752720515115</v>
      </c>
      <c r="AC41" s="5">
        <v>5566.5709450490958</v>
      </c>
      <c r="AD41" s="5">
        <v>900.94959899776984</v>
      </c>
      <c r="AE41" s="5">
        <v>932.0726002735372</v>
      </c>
      <c r="AF41" s="5">
        <v>2006.649565689396</v>
      </c>
      <c r="AG41" s="5">
        <v>13279.252843676939</v>
      </c>
      <c r="AH41" s="5">
        <v>3851.4954386058848</v>
      </c>
      <c r="AI41" s="5">
        <f t="shared" si="13"/>
        <v>33931.66626434413</v>
      </c>
      <c r="AJ41" s="20">
        <f t="shared" si="8"/>
        <v>38.395990650995657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 spans="2:59" x14ac:dyDescent="0.3">
      <c r="B42" s="6">
        <v>2015</v>
      </c>
      <c r="C42" s="5" t="s">
        <v>34</v>
      </c>
      <c r="D42">
        <v>192.08666666666667</v>
      </c>
      <c r="E42" s="5">
        <v>93458.059580734567</v>
      </c>
      <c r="F42" s="5">
        <v>27.803333333333331</v>
      </c>
      <c r="G42" s="5">
        <f t="shared" si="5"/>
        <v>3361.3976590601096</v>
      </c>
      <c r="H42" s="6">
        <f t="shared" si="9"/>
        <v>1749.9380448374566</v>
      </c>
      <c r="I42" s="5">
        <v>166.33685005863558</v>
      </c>
      <c r="J42" s="5">
        <v>55.315027956781272</v>
      </c>
      <c r="K42" s="5">
        <v>37.123786712780138</v>
      </c>
      <c r="L42" s="6">
        <f t="shared" si="10"/>
        <v>9.5052993761322444</v>
      </c>
      <c r="M42" s="6">
        <f t="shared" si="11"/>
        <v>3.160970648073385</v>
      </c>
      <c r="N42" s="6">
        <f t="shared" si="12"/>
        <v>2.1214343457644178</v>
      </c>
      <c r="O42" s="5">
        <v>5893.2692802717447</v>
      </c>
      <c r="P42" s="5">
        <v>2593.1174314454229</v>
      </c>
      <c r="Q42" s="5">
        <v>211.54379689331881</v>
      </c>
      <c r="R42" s="5">
        <v>10091.940386842265</v>
      </c>
      <c r="S42" s="5">
        <v>3270.0235663193139</v>
      </c>
      <c r="T42" s="5">
        <v>5317.274624196205</v>
      </c>
      <c r="U42" s="5">
        <v>4229.5248094335457</v>
      </c>
      <c r="V42" s="5">
        <v>4014.6795348284095</v>
      </c>
      <c r="W42" s="5">
        <v>2213.7874627022761</v>
      </c>
      <c r="X42" s="5">
        <v>7329.1896169084112</v>
      </c>
      <c r="Y42" s="5">
        <f t="shared" si="6"/>
        <v>45164.350509840915</v>
      </c>
      <c r="Z42" s="5">
        <f t="shared" si="7"/>
        <v>48.325799298117069</v>
      </c>
      <c r="AA42" s="5">
        <v>93458.051735940287</v>
      </c>
      <c r="AB42" s="5">
        <v>7984.7554642369341</v>
      </c>
      <c r="AC42" s="5">
        <v>5494.5376074410178</v>
      </c>
      <c r="AD42" s="5">
        <v>917.36386938794578</v>
      </c>
      <c r="AE42" s="5">
        <v>1061.8153057008128</v>
      </c>
      <c r="AF42" s="5">
        <v>2231.8795226348725</v>
      </c>
      <c r="AG42" s="5">
        <v>12926.236614505355</v>
      </c>
      <c r="AH42" s="5">
        <v>4094.3308104296812</v>
      </c>
      <c r="AI42" s="5">
        <f t="shared" si="13"/>
        <v>34710.919194336617</v>
      </c>
      <c r="AJ42" s="20">
        <f t="shared" si="8"/>
        <v>37.140640693441895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 spans="2:59" x14ac:dyDescent="0.3">
      <c r="B43" s="6">
        <v>2016</v>
      </c>
      <c r="C43" s="5" t="s">
        <v>31</v>
      </c>
      <c r="D43">
        <v>194.94333333333336</v>
      </c>
      <c r="E43" s="5">
        <v>91543.161070411355</v>
      </c>
      <c r="F43" s="5">
        <v>28.173333333333332</v>
      </c>
      <c r="G43" s="5">
        <f t="shared" si="5"/>
        <v>3249.2839944537868</v>
      </c>
      <c r="H43" s="6">
        <f t="shared" si="9"/>
        <v>1666.7838488725542</v>
      </c>
      <c r="I43" s="5">
        <v>153.74898736601219</v>
      </c>
      <c r="J43" s="5">
        <v>51.669779764702469</v>
      </c>
      <c r="K43" s="5">
        <v>50.510525386053025</v>
      </c>
      <c r="L43" s="6">
        <f t="shared" si="10"/>
        <v>9.2242906883223679</v>
      </c>
      <c r="M43" s="6">
        <f t="shared" si="11"/>
        <v>3.099968829170797</v>
      </c>
      <c r="N43" s="6">
        <f t="shared" si="12"/>
        <v>3.0304184564914851</v>
      </c>
      <c r="O43" s="5">
        <v>4685.310266059153</v>
      </c>
      <c r="P43" s="5">
        <v>2998.0796734885148</v>
      </c>
      <c r="Q43" s="5">
        <v>251.90524703962541</v>
      </c>
      <c r="R43" s="5">
        <v>9708.1127179853429</v>
      </c>
      <c r="S43" s="5">
        <v>3306.9022114895806</v>
      </c>
      <c r="T43" s="5">
        <v>5234.9016993637024</v>
      </c>
      <c r="U43" s="5">
        <v>3815.7295579724391</v>
      </c>
      <c r="V43" s="5">
        <v>4237.6388853432609</v>
      </c>
      <c r="W43" s="5">
        <v>2252.8871675176192</v>
      </c>
      <c r="X43" s="5">
        <v>7614.1292589178847</v>
      </c>
      <c r="Y43" s="5">
        <f t="shared" si="6"/>
        <v>44105.596685177123</v>
      </c>
      <c r="Z43" s="5">
        <f t="shared" si="7"/>
        <v>48.180120673452997</v>
      </c>
      <c r="AA43" s="5">
        <v>91543.142832930025</v>
      </c>
      <c r="AB43" s="5">
        <v>6570.1537678219001</v>
      </c>
      <c r="AC43" s="5">
        <v>4871.4416105109367</v>
      </c>
      <c r="AD43" s="5">
        <v>877.08093352789217</v>
      </c>
      <c r="AE43" s="5">
        <v>413.57011490781912</v>
      </c>
      <c r="AF43" s="5">
        <v>2253.0602255419503</v>
      </c>
      <c r="AG43" s="5">
        <v>13337.376323233935</v>
      </c>
      <c r="AH43" s="5">
        <v>4924.8268044412398</v>
      </c>
      <c r="AI43" s="5">
        <f t="shared" si="13"/>
        <v>33247.509779985674</v>
      </c>
      <c r="AJ43" s="20">
        <f t="shared" si="8"/>
        <v>36.31895164519721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 spans="2:59" x14ac:dyDescent="0.3">
      <c r="B44" s="6">
        <v>2016</v>
      </c>
      <c r="C44" s="5" t="s">
        <v>32</v>
      </c>
      <c r="D44">
        <v>197.32000000000002</v>
      </c>
      <c r="E44" s="5">
        <v>92558.946876575937</v>
      </c>
      <c r="F44" s="5">
        <v>28.42</v>
      </c>
      <c r="G44" s="5">
        <f t="shared" si="5"/>
        <v>3256.8243095206167</v>
      </c>
      <c r="H44" s="6">
        <f t="shared" si="9"/>
        <v>1650.5292466656276</v>
      </c>
      <c r="I44" s="5">
        <v>155.96442752983066</v>
      </c>
      <c r="J44" s="5">
        <v>51.760750935694567</v>
      </c>
      <c r="K44" s="5">
        <v>60.680235096624841</v>
      </c>
      <c r="L44" s="6">
        <f t="shared" si="10"/>
        <v>9.4493586129968588</v>
      </c>
      <c r="M44" s="6">
        <f t="shared" si="11"/>
        <v>3.1360093158155662</v>
      </c>
      <c r="N44" s="6">
        <f t="shared" si="12"/>
        <v>3.6764107766772427</v>
      </c>
      <c r="O44" s="5">
        <v>5120.542491532151</v>
      </c>
      <c r="P44" s="5">
        <v>2960.8204488910587</v>
      </c>
      <c r="Q44" s="5">
        <v>263.03473211832681</v>
      </c>
      <c r="R44" s="5">
        <v>9881.5210040177299</v>
      </c>
      <c r="S44" s="5">
        <v>2941.3946479579713</v>
      </c>
      <c r="T44" s="5">
        <v>5161.1554136691702</v>
      </c>
      <c r="U44" s="5">
        <v>3960.1539902882128</v>
      </c>
      <c r="V44" s="5">
        <v>4494.7168555981352</v>
      </c>
      <c r="W44" s="5">
        <v>2322.0344544090344</v>
      </c>
      <c r="X44" s="5">
        <v>7876.5792413806721</v>
      </c>
      <c r="Y44" s="5">
        <f t="shared" si="6"/>
        <v>44981.953279862464</v>
      </c>
      <c r="Z44" s="5">
        <f t="shared" si="7"/>
        <v>48.598177087041947</v>
      </c>
      <c r="AA44" s="5">
        <v>92558.931169984775</v>
      </c>
      <c r="AB44" s="5">
        <v>7390.4666453612735</v>
      </c>
      <c r="AC44" s="5">
        <v>4965.3512170856748</v>
      </c>
      <c r="AD44" s="5">
        <v>763.7358228929495</v>
      </c>
      <c r="AE44" s="5">
        <v>726.78092360977973</v>
      </c>
      <c r="AF44" s="5">
        <v>2350.407377533204</v>
      </c>
      <c r="AG44" s="5">
        <v>12659.477060108355</v>
      </c>
      <c r="AH44" s="5">
        <v>4457.1197484352124</v>
      </c>
      <c r="AI44" s="5">
        <f t="shared" si="13"/>
        <v>33313.338795026444</v>
      </c>
      <c r="AJ44" s="20">
        <f t="shared" si="8"/>
        <v>35.991490366117553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 spans="2:59" x14ac:dyDescent="0.3">
      <c r="B45" s="6">
        <v>2016</v>
      </c>
      <c r="C45" s="5" t="s">
        <v>33</v>
      </c>
      <c r="D45">
        <v>197.52666666666664</v>
      </c>
      <c r="E45" s="5">
        <v>95614.505367350008</v>
      </c>
      <c r="F45" s="5">
        <v>28.873333333333335</v>
      </c>
      <c r="G45" s="5">
        <f t="shared" si="5"/>
        <v>3311.5160021017086</v>
      </c>
      <c r="H45" s="6">
        <f t="shared" si="9"/>
        <v>1676.490601489272</v>
      </c>
      <c r="I45" s="5">
        <v>160.64286289625562</v>
      </c>
      <c r="J45" s="5">
        <v>52.807799571268617</v>
      </c>
      <c r="K45" s="5">
        <v>53.347088413269354</v>
      </c>
      <c r="L45" s="6">
        <f t="shared" si="10"/>
        <v>9.5820914685446024</v>
      </c>
      <c r="M45" s="6">
        <f t="shared" si="11"/>
        <v>3.1499013191221001</v>
      </c>
      <c r="N45" s="6">
        <f t="shared" si="12"/>
        <v>3.1820690414774582</v>
      </c>
      <c r="O45" s="5">
        <v>5386.5617511936225</v>
      </c>
      <c r="P45" s="5">
        <v>2951.0584879019984</v>
      </c>
      <c r="Q45" s="5">
        <v>258.66813464093116</v>
      </c>
      <c r="R45" s="5">
        <v>9670.534211399543</v>
      </c>
      <c r="S45" s="5">
        <v>3090.5112401089891</v>
      </c>
      <c r="T45" s="5">
        <v>5486.2574701839685</v>
      </c>
      <c r="U45" s="5">
        <v>3994.4542335503806</v>
      </c>
      <c r="V45" s="5">
        <v>4515.6386003978778</v>
      </c>
      <c r="W45" s="5">
        <v>2303.3282899878914</v>
      </c>
      <c r="X45" s="5">
        <v>7420.7702501781205</v>
      </c>
      <c r="Y45" s="5">
        <f t="shared" si="6"/>
        <v>45077.782669543318</v>
      </c>
      <c r="Z45" s="5">
        <f t="shared" si="7"/>
        <v>47.145338089924813</v>
      </c>
      <c r="AA45" s="5">
        <v>95614.507172611949</v>
      </c>
      <c r="AB45" s="5">
        <v>7887.3602974801242</v>
      </c>
      <c r="AC45" s="5">
        <v>5408.4513434330229</v>
      </c>
      <c r="AD45" s="5">
        <v>915.64827343226102</v>
      </c>
      <c r="AE45" s="5">
        <v>798.94726856388684</v>
      </c>
      <c r="AF45" s="5">
        <v>2978.9198050871073</v>
      </c>
      <c r="AG45" s="5">
        <v>13810.461556401468</v>
      </c>
      <c r="AH45" s="5">
        <v>4663.8137576941817</v>
      </c>
      <c r="AI45" s="5">
        <f t="shared" si="13"/>
        <v>36463.602302092055</v>
      </c>
      <c r="AJ45" s="20">
        <f t="shared" si="8"/>
        <v>38.136056316500863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 spans="2:59" x14ac:dyDescent="0.3">
      <c r="B46" s="6">
        <v>2016</v>
      </c>
      <c r="C46" s="5" t="s">
        <v>34</v>
      </c>
      <c r="D46">
        <v>198.38333333333333</v>
      </c>
      <c r="E46" s="5">
        <v>100544.16066920102</v>
      </c>
      <c r="F46" s="5">
        <v>29.22</v>
      </c>
      <c r="G46" s="5">
        <f t="shared" si="5"/>
        <v>3440.9363678713562</v>
      </c>
      <c r="H46" s="6">
        <f t="shared" si="9"/>
        <v>1734.4886337249548</v>
      </c>
      <c r="I46" s="5">
        <v>149.57239341174548</v>
      </c>
      <c r="J46" s="5">
        <v>57.525598350052654</v>
      </c>
      <c r="K46" s="5">
        <v>38.153268168524967</v>
      </c>
      <c r="L46" s="6">
        <f t="shared" si="10"/>
        <v>8.6234288598667064</v>
      </c>
      <c r="M46" s="6">
        <f t="shared" si="11"/>
        <v>3.3165739591219907</v>
      </c>
      <c r="N46" s="6">
        <f t="shared" si="12"/>
        <v>2.1996839544914017</v>
      </c>
      <c r="O46" s="5">
        <v>6109.7428372832765</v>
      </c>
      <c r="P46" s="5">
        <v>2789.3330498937912</v>
      </c>
      <c r="Q46" s="5">
        <v>256.25162015716126</v>
      </c>
      <c r="R46" s="5">
        <v>10821.049148464173</v>
      </c>
      <c r="S46" s="5">
        <v>4103.8182739378963</v>
      </c>
      <c r="T46" s="5">
        <v>5701.5664621694841</v>
      </c>
      <c r="U46" s="5">
        <v>4671.6186033832946</v>
      </c>
      <c r="V46" s="5">
        <v>4588.4376772522319</v>
      </c>
      <c r="W46" s="5">
        <v>2373.7608253918438</v>
      </c>
      <c r="X46" s="5">
        <v>7869.6047495351213</v>
      </c>
      <c r="Y46" s="5">
        <f t="shared" si="6"/>
        <v>49285.183247468274</v>
      </c>
      <c r="Z46" s="5">
        <f t="shared" si="7"/>
        <v>49.018428484921216</v>
      </c>
      <c r="AA46" s="5">
        <v>100544.1928082805</v>
      </c>
      <c r="AB46" s="5">
        <v>7667.5459679051337</v>
      </c>
      <c r="AC46" s="5">
        <v>5329.5948343471491</v>
      </c>
      <c r="AD46" s="5">
        <v>960.83444183116421</v>
      </c>
      <c r="AE46" s="5">
        <v>1170.2209281905375</v>
      </c>
      <c r="AF46" s="5">
        <v>2687.1586769533783</v>
      </c>
      <c r="AG46" s="5">
        <v>13979.622984561911</v>
      </c>
      <c r="AH46" s="5">
        <v>4896.7289713662485</v>
      </c>
      <c r="AI46" s="5">
        <f t="shared" si="13"/>
        <v>36691.706805155518</v>
      </c>
      <c r="AJ46" s="20">
        <f t="shared" si="8"/>
        <v>36.493113903773569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 spans="2:59" x14ac:dyDescent="0.3">
      <c r="B47" s="6">
        <v>2017</v>
      </c>
      <c r="C47" s="5" t="s">
        <v>31</v>
      </c>
      <c r="D47">
        <v>201.92333333333332</v>
      </c>
      <c r="E47" s="5">
        <v>102144.46543150474</v>
      </c>
      <c r="F47" s="5">
        <v>29.560000000000002</v>
      </c>
      <c r="G47" s="5">
        <f t="shared" si="5"/>
        <v>3455.4961242051668</v>
      </c>
      <c r="H47" s="6">
        <f t="shared" si="9"/>
        <v>1711.2911455858662</v>
      </c>
      <c r="I47" s="5">
        <v>170.47882984938471</v>
      </c>
      <c r="J47" s="5">
        <v>53.362795636330681</v>
      </c>
      <c r="K47" s="5">
        <v>62.034792281935175</v>
      </c>
      <c r="L47" s="6">
        <f t="shared" si="10"/>
        <v>9.9620003462952944</v>
      </c>
      <c r="M47" s="6">
        <f t="shared" si="11"/>
        <v>3.1182768504339893</v>
      </c>
      <c r="N47" s="6">
        <f t="shared" si="12"/>
        <v>3.6250285313489048</v>
      </c>
      <c r="O47" s="5">
        <v>5929.1909134621601</v>
      </c>
      <c r="P47" s="5">
        <v>2964.1720287418043</v>
      </c>
      <c r="Q47" s="5">
        <v>291.87218507365475</v>
      </c>
      <c r="R47" s="5">
        <v>10549.197618943936</v>
      </c>
      <c r="S47" s="5">
        <v>3916.5779893266467</v>
      </c>
      <c r="T47" s="5">
        <v>5848.5261483591157</v>
      </c>
      <c r="U47" s="5">
        <v>4262.4200628882609</v>
      </c>
      <c r="V47" s="5">
        <v>4823.5912340817804</v>
      </c>
      <c r="W47" s="5">
        <v>2558.2664697931273</v>
      </c>
      <c r="X47" s="5">
        <v>8161.7975257499593</v>
      </c>
      <c r="Y47" s="5">
        <f t="shared" si="6"/>
        <v>49305.612176420444</v>
      </c>
      <c r="Z47" s="5">
        <f t="shared" si="7"/>
        <v>48.270434190146347</v>
      </c>
      <c r="AA47" s="5">
        <v>102144.53837766682</v>
      </c>
      <c r="AB47" s="5">
        <v>7390.5363029305563</v>
      </c>
      <c r="AC47" s="5">
        <v>5917.1253152101935</v>
      </c>
      <c r="AD47" s="5">
        <v>940.15550505718011</v>
      </c>
      <c r="AE47" s="5">
        <v>481.97881760778643</v>
      </c>
      <c r="AF47" s="5">
        <v>2435.2301234697065</v>
      </c>
      <c r="AG47" s="5">
        <v>14682.819644082569</v>
      </c>
      <c r="AH47" s="5">
        <v>5635.807779608378</v>
      </c>
      <c r="AI47" s="5">
        <f t="shared" si="13"/>
        <v>37483.653487966367</v>
      </c>
      <c r="AJ47" s="20">
        <f t="shared" si="8"/>
        <v>36.696679120889641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 spans="2:59" x14ac:dyDescent="0.3">
      <c r="B48" s="6">
        <v>2017</v>
      </c>
      <c r="C48" s="5" t="s">
        <v>32</v>
      </c>
      <c r="D48">
        <v>203.45333333333335</v>
      </c>
      <c r="E48" s="5">
        <v>99930.230335972199</v>
      </c>
      <c r="F48" s="5">
        <v>29.87</v>
      </c>
      <c r="G48" s="5">
        <f t="shared" si="5"/>
        <v>3345.504865616746</v>
      </c>
      <c r="H48" s="6">
        <f t="shared" si="9"/>
        <v>1644.3598199177923</v>
      </c>
      <c r="I48" s="5">
        <v>154.87875940574605</v>
      </c>
      <c r="J48" s="5">
        <v>55.818623488653053</v>
      </c>
      <c r="K48" s="5">
        <v>67.846052894088785</v>
      </c>
      <c r="L48" s="6">
        <f t="shared" si="10"/>
        <v>9.4187876357553559</v>
      </c>
      <c r="M48" s="6">
        <f t="shared" si="11"/>
        <v>3.3945504391759975</v>
      </c>
      <c r="N48" s="6">
        <f t="shared" si="12"/>
        <v>4.1259858135843199</v>
      </c>
      <c r="O48" s="5">
        <v>5215.3108032833079</v>
      </c>
      <c r="P48" s="5">
        <v>3019.6623315095567</v>
      </c>
      <c r="Q48" s="5">
        <v>306.07727993570848</v>
      </c>
      <c r="R48" s="5">
        <v>10648.345687144689</v>
      </c>
      <c r="S48" s="5">
        <v>3479.9552060119454</v>
      </c>
      <c r="T48" s="5">
        <v>5645.0980273563864</v>
      </c>
      <c r="U48" s="5">
        <v>4348.2792201824413</v>
      </c>
      <c r="V48" s="5">
        <v>5135.7690571439889</v>
      </c>
      <c r="W48" s="5">
        <v>2697.7122418018507</v>
      </c>
      <c r="X48" s="5">
        <v>8206.3824230292867</v>
      </c>
      <c r="Y48" s="5">
        <f t="shared" si="6"/>
        <v>48702.592277399162</v>
      </c>
      <c r="Z48" s="5">
        <f t="shared" si="7"/>
        <v>48.736562475363257</v>
      </c>
      <c r="AA48" s="5">
        <v>99930.298329962709</v>
      </c>
      <c r="AB48" s="5">
        <v>7474.6633402641028</v>
      </c>
      <c r="AC48" s="5">
        <v>5703.567895134016</v>
      </c>
      <c r="AD48" s="5">
        <v>809.43627743566969</v>
      </c>
      <c r="AE48" s="5">
        <v>935.36754376892998</v>
      </c>
      <c r="AF48" s="5">
        <v>2480.7116464883507</v>
      </c>
      <c r="AG48" s="5">
        <v>13245.28852512417</v>
      </c>
      <c r="AH48" s="5">
        <v>5372.7441102802959</v>
      </c>
      <c r="AI48" s="5">
        <f t="shared" si="13"/>
        <v>36021.779338495537</v>
      </c>
      <c r="AJ48" s="20">
        <f t="shared" si="8"/>
        <v>36.046904633021505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 spans="2:59" x14ac:dyDescent="0.3">
      <c r="B49" s="6">
        <v>2017</v>
      </c>
      <c r="C49" s="5" t="s">
        <v>33</v>
      </c>
      <c r="D49">
        <v>204.58666666666667</v>
      </c>
      <c r="E49" s="5">
        <v>101469.47280679332</v>
      </c>
      <c r="F49" s="5">
        <v>30.290000000000003</v>
      </c>
      <c r="G49" s="5">
        <f t="shared" si="5"/>
        <v>3349.933073845933</v>
      </c>
      <c r="H49" s="6">
        <f t="shared" si="9"/>
        <v>1637.4151494945579</v>
      </c>
      <c r="I49" s="5">
        <v>157.66081402406979</v>
      </c>
      <c r="J49" s="5">
        <v>57.940937190622385</v>
      </c>
      <c r="K49" s="5">
        <v>50.389091344613121</v>
      </c>
      <c r="L49" s="6">
        <f t="shared" si="10"/>
        <v>9.6286402426859787</v>
      </c>
      <c r="M49" s="6">
        <f t="shared" si="11"/>
        <v>3.5385612016908334</v>
      </c>
      <c r="N49" s="6">
        <f t="shared" si="12"/>
        <v>3.0773558776567675</v>
      </c>
      <c r="O49" s="5">
        <v>5391.3948072222393</v>
      </c>
      <c r="P49" s="5">
        <v>3043.1589981282182</v>
      </c>
      <c r="Q49" s="5">
        <v>288.07925399650526</v>
      </c>
      <c r="R49" s="5">
        <v>10780.110523843341</v>
      </c>
      <c r="S49" s="5">
        <v>3576.9929425933901</v>
      </c>
      <c r="T49" s="5">
        <v>5852.9606159140494</v>
      </c>
      <c r="U49" s="5">
        <v>4489.4469493899715</v>
      </c>
      <c r="V49" s="5">
        <v>5160.9391178527349</v>
      </c>
      <c r="W49" s="5">
        <v>2700.8248472216837</v>
      </c>
      <c r="X49" s="5">
        <v>7857.5432254891321</v>
      </c>
      <c r="Y49" s="5">
        <f t="shared" si="6"/>
        <v>49141.451281651272</v>
      </c>
      <c r="Z49" s="5">
        <f t="shared" si="7"/>
        <v>48.42979030427891</v>
      </c>
      <c r="AA49" s="5">
        <v>101469.46945857306</v>
      </c>
      <c r="AB49" s="5">
        <v>7788.2127611582</v>
      </c>
      <c r="AC49" s="5">
        <v>5716.1457335855994</v>
      </c>
      <c r="AD49" s="5">
        <v>907.23835138995969</v>
      </c>
      <c r="AE49" s="5">
        <v>1026.5880066157142</v>
      </c>
      <c r="AF49" s="5">
        <v>2376.4626234301591</v>
      </c>
      <c r="AG49" s="5">
        <v>14247.855421440578</v>
      </c>
      <c r="AH49" s="5">
        <v>5294.6614574376599</v>
      </c>
      <c r="AI49" s="5">
        <f t="shared" si="13"/>
        <v>37357.164355057866</v>
      </c>
      <c r="AJ49" s="20">
        <f t="shared" si="8"/>
        <v>36.816162097220463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 spans="2:59" x14ac:dyDescent="0.3">
      <c r="B50" s="6">
        <v>2017</v>
      </c>
      <c r="C50" s="5" t="s">
        <v>34</v>
      </c>
      <c r="D50">
        <v>208.57000000000002</v>
      </c>
      <c r="E50" s="5">
        <v>110734.88880595333</v>
      </c>
      <c r="F50" s="5">
        <v>30.583333333333332</v>
      </c>
      <c r="G50" s="5">
        <f t="shared" si="5"/>
        <v>3620.7593070066487</v>
      </c>
      <c r="H50" s="6">
        <f t="shared" si="9"/>
        <v>1735.9923800194892</v>
      </c>
      <c r="I50" s="5">
        <v>148.15985973137455</v>
      </c>
      <c r="J50" s="5">
        <v>59.296832214508662</v>
      </c>
      <c r="K50" s="5">
        <v>40.247734002134699</v>
      </c>
      <c r="L50" s="6">
        <f t="shared" si="10"/>
        <v>8.5345915936400143</v>
      </c>
      <c r="M50" s="6">
        <f t="shared" si="11"/>
        <v>3.4157311343637904</v>
      </c>
      <c r="N50" s="6">
        <f t="shared" si="12"/>
        <v>2.3184280337499441</v>
      </c>
      <c r="O50" s="5">
        <v>6931.8799221064692</v>
      </c>
      <c r="P50" s="5">
        <v>2983.5391266468996</v>
      </c>
      <c r="Q50" s="5">
        <v>287.66058714268962</v>
      </c>
      <c r="R50" s="5">
        <v>12348.534740129766</v>
      </c>
      <c r="S50" s="5">
        <v>4747.5470926680418</v>
      </c>
      <c r="T50" s="5">
        <v>6071.8557182021059</v>
      </c>
      <c r="U50" s="5">
        <v>5113.6211338080848</v>
      </c>
      <c r="V50" s="5">
        <v>5099.8596664357447</v>
      </c>
      <c r="W50" s="5">
        <v>2719.9948948781398</v>
      </c>
      <c r="X50" s="5">
        <v>8485.4945547611605</v>
      </c>
      <c r="Y50" s="5">
        <f t="shared" si="6"/>
        <v>54789.987436779105</v>
      </c>
      <c r="Z50" s="5">
        <f t="shared" si="7"/>
        <v>49.478584487627124</v>
      </c>
      <c r="AA50" s="5">
        <v>110734.75121439697</v>
      </c>
      <c r="AB50" s="5">
        <v>8761.7140730434476</v>
      </c>
      <c r="AC50" s="5">
        <v>5828.1818723644283</v>
      </c>
      <c r="AD50" s="5">
        <v>1014.9926004872245</v>
      </c>
      <c r="AE50" s="5">
        <v>1431.0758460607606</v>
      </c>
      <c r="AF50" s="5">
        <v>2350.4782221307905</v>
      </c>
      <c r="AG50" s="5">
        <v>14342.179038131468</v>
      </c>
      <c r="AH50" s="5">
        <v>5443.5570661357715</v>
      </c>
      <c r="AI50" s="5">
        <f t="shared" si="13"/>
        <v>39172.178718353891</v>
      </c>
      <c r="AJ50" s="20">
        <f t="shared" si="8"/>
        <v>35.374783695961376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 spans="2:59" x14ac:dyDescent="0.3">
      <c r="B51" s="6">
        <v>2018</v>
      </c>
      <c r="C51" s="5" t="s">
        <v>31</v>
      </c>
      <c r="D51">
        <v>212.02333333333334</v>
      </c>
      <c r="E51" s="5">
        <v>107170.69131440156</v>
      </c>
      <c r="F51" s="5">
        <v>30.956666666666667</v>
      </c>
      <c r="G51" s="5">
        <f t="shared" si="5"/>
        <v>3461.958371306177</v>
      </c>
      <c r="H51" s="6">
        <f t="shared" si="9"/>
        <v>1632.8195189080652</v>
      </c>
      <c r="I51" s="5">
        <v>166.41306768757468</v>
      </c>
      <c r="J51" s="5">
        <v>55.557048560227848</v>
      </c>
      <c r="K51" s="5">
        <v>59.13461452931508</v>
      </c>
      <c r="L51" s="6">
        <f t="shared" si="10"/>
        <v>10.191761291466069</v>
      </c>
      <c r="M51" s="6">
        <f t="shared" si="11"/>
        <v>3.4025223190240386</v>
      </c>
      <c r="N51" s="6">
        <f t="shared" si="12"/>
        <v>3.6216258958528909</v>
      </c>
      <c r="O51" s="5">
        <v>5936.9924654487822</v>
      </c>
      <c r="P51" s="5">
        <v>3180.9698810129398</v>
      </c>
      <c r="Q51" s="5">
        <v>294.18540750588488</v>
      </c>
      <c r="R51" s="5">
        <v>12298.998908192934</v>
      </c>
      <c r="S51" s="5">
        <v>4617.8296082408178</v>
      </c>
      <c r="T51" s="5">
        <v>6032.4047672988509</v>
      </c>
      <c r="U51" s="5">
        <v>4684.1618404157434</v>
      </c>
      <c r="V51" s="5">
        <v>5110.5900514836512</v>
      </c>
      <c r="W51" s="5">
        <v>2770.9374074127759</v>
      </c>
      <c r="X51" s="5">
        <v>8364.9803479570164</v>
      </c>
      <c r="Y51" s="5">
        <f t="shared" si="6"/>
        <v>53292.050684969407</v>
      </c>
      <c r="Z51" s="5">
        <f t="shared" si="7"/>
        <v>49.726481367730145</v>
      </c>
      <c r="AA51" s="5">
        <v>107170.36319314787</v>
      </c>
      <c r="AB51" s="5">
        <v>7185.7326991103491</v>
      </c>
      <c r="AC51" s="5">
        <v>6194.2756048683141</v>
      </c>
      <c r="AD51" s="5">
        <v>918.8979737217312</v>
      </c>
      <c r="AE51" s="5">
        <v>614.22450787657647</v>
      </c>
      <c r="AF51" s="5">
        <v>2664.1176843320691</v>
      </c>
      <c r="AG51" s="5">
        <v>14469.128725583558</v>
      </c>
      <c r="AH51" s="5">
        <v>5693.3451742658235</v>
      </c>
      <c r="AI51" s="5">
        <f t="shared" si="13"/>
        <v>37739.72236975842</v>
      </c>
      <c r="AJ51" s="20">
        <f t="shared" si="8"/>
        <v>35.21470045010669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  <row r="52" spans="2:59" x14ac:dyDescent="0.3">
      <c r="B52" s="6">
        <v>2018</v>
      </c>
      <c r="C52" s="5" t="s">
        <v>32</v>
      </c>
      <c r="D52">
        <v>214.13666666666666</v>
      </c>
      <c r="E52" s="5">
        <v>98327.446074528983</v>
      </c>
      <c r="F52" s="5">
        <v>31.38</v>
      </c>
      <c r="G52" s="5">
        <f t="shared" si="5"/>
        <v>3133.4431508772782</v>
      </c>
      <c r="H52" s="6">
        <f t="shared" si="9"/>
        <v>1463.2912707821849</v>
      </c>
      <c r="I52" s="5">
        <v>148.06623938914157</v>
      </c>
      <c r="J52" s="5">
        <v>57.793545616135532</v>
      </c>
      <c r="K52" s="5">
        <v>63.535234174054501</v>
      </c>
      <c r="L52" s="6">
        <f t="shared" si="10"/>
        <v>10.118712681856874</v>
      </c>
      <c r="M52" s="6">
        <f t="shared" si="11"/>
        <v>3.9495585581702186</v>
      </c>
      <c r="N52" s="6">
        <f t="shared" si="12"/>
        <v>4.3419403534125163</v>
      </c>
      <c r="O52" s="5">
        <v>5206.8670526218657</v>
      </c>
      <c r="P52" s="5">
        <v>3169.7983561362512</v>
      </c>
      <c r="Q52" s="5">
        <v>312.91751756628116</v>
      </c>
      <c r="R52" s="5">
        <v>10482.703036445044</v>
      </c>
      <c r="S52" s="5">
        <v>2389.5698624993765</v>
      </c>
      <c r="T52" s="5">
        <v>5902.1823408344981</v>
      </c>
      <c r="U52" s="5">
        <v>4795.9545743584376</v>
      </c>
      <c r="V52" s="5">
        <v>5286.8898997041124</v>
      </c>
      <c r="W52" s="5">
        <v>2797.9416132810534</v>
      </c>
      <c r="X52" s="5">
        <v>8271.0580276702131</v>
      </c>
      <c r="Y52" s="5">
        <f t="shared" si="6"/>
        <v>48615.882281117127</v>
      </c>
      <c r="Z52" s="5">
        <f t="shared" si="7"/>
        <v>49.442984627169658</v>
      </c>
      <c r="AA52" s="5">
        <v>98327.1593487137</v>
      </c>
      <c r="AB52" s="5">
        <v>7397.0592405134139</v>
      </c>
      <c r="AC52" s="5">
        <v>5435.0819410970971</v>
      </c>
      <c r="AD52" s="5">
        <v>793.37438598682104</v>
      </c>
      <c r="AE52" s="5">
        <v>853.11522248872188</v>
      </c>
      <c r="AF52" s="5">
        <v>2702.3936547458211</v>
      </c>
      <c r="AG52" s="5">
        <v>12445.889200087127</v>
      </c>
      <c r="AH52" s="5">
        <v>6124.7708026910605</v>
      </c>
      <c r="AI52" s="5">
        <f t="shared" si="13"/>
        <v>35751.68444761006</v>
      </c>
      <c r="AJ52" s="20">
        <f t="shared" si="8"/>
        <v>36.359928105741375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</row>
    <row r="53" spans="2:59" x14ac:dyDescent="0.3">
      <c r="B53" s="6">
        <v>2018</v>
      </c>
      <c r="C53" s="5" t="s">
        <v>33</v>
      </c>
      <c r="D53">
        <v>214.99333333333334</v>
      </c>
      <c r="E53" s="5">
        <v>100721.02414131224</v>
      </c>
      <c r="F53" s="5">
        <v>31.899999999999995</v>
      </c>
      <c r="G53" s="5">
        <f t="shared" si="5"/>
        <v>3157.3988759032054</v>
      </c>
      <c r="H53" s="6">
        <f t="shared" si="9"/>
        <v>1468.6031547814841</v>
      </c>
      <c r="I53" s="5">
        <v>148.06623938914157</v>
      </c>
      <c r="J53" s="5">
        <v>57.793545616135532</v>
      </c>
      <c r="K53" s="5">
        <v>63.535234174054501</v>
      </c>
      <c r="L53" s="6">
        <f t="shared" si="10"/>
        <v>10.082113667471496</v>
      </c>
      <c r="M53" s="6">
        <f t="shared" si="11"/>
        <v>3.9352731490444555</v>
      </c>
      <c r="N53" s="6">
        <f t="shared" si="12"/>
        <v>4.3262357136573097</v>
      </c>
      <c r="O53" s="5">
        <v>5698.2127401590815</v>
      </c>
      <c r="P53" s="5">
        <v>3228.3300938831908</v>
      </c>
      <c r="Q53" s="5">
        <v>308.27997197192173</v>
      </c>
      <c r="R53" s="5">
        <v>10026.540174716547</v>
      </c>
      <c r="S53" s="5">
        <v>2342.5358154634814</v>
      </c>
      <c r="T53" s="5">
        <v>6115.8749975421188</v>
      </c>
      <c r="U53" s="5">
        <v>4868.5095883741005</v>
      </c>
      <c r="V53" s="5">
        <v>5271.3605288581239</v>
      </c>
      <c r="W53" s="5">
        <v>2809.7293116043588</v>
      </c>
      <c r="X53" s="5">
        <v>7874.4068211882823</v>
      </c>
      <c r="Y53" s="5">
        <f t="shared" si="6"/>
        <v>48543.780043761217</v>
      </c>
      <c r="Z53" s="5">
        <f t="shared" si="7"/>
        <v>48.196268697825154</v>
      </c>
      <c r="AA53" s="5">
        <v>100721.03371344958</v>
      </c>
      <c r="AB53" s="5">
        <v>8085.8751967055123</v>
      </c>
      <c r="AC53" s="5">
        <v>6312.2115762788671</v>
      </c>
      <c r="AD53" s="5">
        <v>880.77205982606858</v>
      </c>
      <c r="AE53" s="5">
        <v>880.76328624053281</v>
      </c>
      <c r="AF53" s="5">
        <v>2531.3655193130207</v>
      </c>
      <c r="AG53" s="5">
        <v>15047.832067846788</v>
      </c>
      <c r="AH53" s="5">
        <v>5704.5877786285137</v>
      </c>
      <c r="AI53" s="5">
        <f t="shared" si="13"/>
        <v>39443.407484839307</v>
      </c>
      <c r="AJ53" s="20">
        <f t="shared" si="8"/>
        <v>39.16104316110917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</row>
    <row r="54" spans="2:59" x14ac:dyDescent="0.3">
      <c r="B54" s="6">
        <v>2018</v>
      </c>
      <c r="C54" s="5" t="s">
        <v>34</v>
      </c>
      <c r="D54">
        <v>217.86333333333334</v>
      </c>
      <c r="E54" s="5">
        <v>104768.42877494358</v>
      </c>
      <c r="F54" s="5">
        <v>32.336666666666666</v>
      </c>
      <c r="G54" s="5">
        <f t="shared" si="5"/>
        <v>3239.9266707023062</v>
      </c>
      <c r="H54" s="6">
        <f t="shared" si="9"/>
        <v>1487.1371979539035</v>
      </c>
      <c r="I54" s="5">
        <v>153.4988966504803</v>
      </c>
      <c r="J54" s="5">
        <v>61.764467011313208</v>
      </c>
      <c r="K54" s="5">
        <v>35.48318153246003</v>
      </c>
      <c r="L54" s="6">
        <f t="shared" si="10"/>
        <v>10.321771041816028</v>
      </c>
      <c r="M54" s="6">
        <f t="shared" si="11"/>
        <v>4.1532460553264778</v>
      </c>
      <c r="N54" s="6">
        <f t="shared" si="12"/>
        <v>2.3860059166887906</v>
      </c>
      <c r="O54" s="5">
        <v>4858.9021179333122</v>
      </c>
      <c r="P54" s="5">
        <v>2943.4214129466509</v>
      </c>
      <c r="Q54" s="5">
        <v>316.08873588632014</v>
      </c>
      <c r="R54" s="5">
        <v>11070.985926991207</v>
      </c>
      <c r="S54" s="5">
        <v>3281.4796638229873</v>
      </c>
      <c r="T54" s="5">
        <v>6410.4574369704487</v>
      </c>
      <c r="U54" s="5">
        <v>5318.1760418185004</v>
      </c>
      <c r="V54" s="5">
        <v>5218.6686568042278</v>
      </c>
      <c r="W54" s="5">
        <v>2844.5656907485204</v>
      </c>
      <c r="X54" s="5">
        <v>8459.4721795001878</v>
      </c>
      <c r="Y54" s="5">
        <f t="shared" si="6"/>
        <v>50722.21786342236</v>
      </c>
      <c r="Z54" s="5">
        <f t="shared" si="7"/>
        <v>48.413367865032711</v>
      </c>
      <c r="AA54" s="5">
        <v>104769.0340503191</v>
      </c>
      <c r="AB54" s="5">
        <v>9240.2061278818292</v>
      </c>
      <c r="AC54" s="5">
        <v>5803.5277828593935</v>
      </c>
      <c r="AD54" s="5">
        <v>1011.5086133064135</v>
      </c>
      <c r="AE54" s="5">
        <v>1365.7608648743471</v>
      </c>
      <c r="AF54" s="5">
        <v>2471.9992780480179</v>
      </c>
      <c r="AG54" s="5">
        <v>14941.444736115121</v>
      </c>
      <c r="AH54" s="5">
        <v>5555.8547001008701</v>
      </c>
      <c r="AI54" s="5">
        <f t="shared" si="13"/>
        <v>40390.302103185997</v>
      </c>
      <c r="AJ54" s="20">
        <f t="shared" si="8"/>
        <v>38.551755744724247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</row>
    <row r="55" spans="2:59" x14ac:dyDescent="0.3">
      <c r="B55" s="6">
        <v>2019</v>
      </c>
      <c r="C55" s="5" t="s">
        <v>31</v>
      </c>
      <c r="D55">
        <v>220.33</v>
      </c>
      <c r="E55" s="5">
        <v>101121.07354183693</v>
      </c>
      <c r="F55" s="5">
        <v>32.78</v>
      </c>
      <c r="G55" s="5">
        <f t="shared" si="5"/>
        <v>3084.8405595435302</v>
      </c>
      <c r="H55" s="6">
        <f t="shared" si="9"/>
        <v>1400.1001041816955</v>
      </c>
      <c r="I55" s="5">
        <v>150.89122603213363</v>
      </c>
      <c r="J55" s="5">
        <v>58.042330383476063</v>
      </c>
      <c r="K55" s="5">
        <v>54.987252984573466</v>
      </c>
      <c r="L55" s="6">
        <f t="shared" si="10"/>
        <v>10.777174116441033</v>
      </c>
      <c r="M55" s="6">
        <f t="shared" si="11"/>
        <v>4.1455843200154296</v>
      </c>
      <c r="N55" s="6">
        <f t="shared" si="12"/>
        <v>3.9273801080610156</v>
      </c>
      <c r="O55" s="5">
        <v>3298.7205429959504</v>
      </c>
      <c r="P55" s="5">
        <v>3286.1120322298125</v>
      </c>
      <c r="Q55" s="5">
        <v>350.31747749961647</v>
      </c>
      <c r="R55" s="5">
        <v>11245.698455546912</v>
      </c>
      <c r="S55" s="5">
        <v>3081.9645452359468</v>
      </c>
      <c r="T55" s="5">
        <v>6243.9050588305681</v>
      </c>
      <c r="U55" s="5">
        <v>4944.7253696372163</v>
      </c>
      <c r="V55" s="5">
        <v>5363.7550269401345</v>
      </c>
      <c r="W55" s="5">
        <v>2873.4800011657262</v>
      </c>
      <c r="X55" s="5">
        <v>7834.6885610591917</v>
      </c>
      <c r="Y55" s="5">
        <f t="shared" si="6"/>
        <v>48523.367071141081</v>
      </c>
      <c r="Z55" s="5">
        <f t="shared" si="7"/>
        <v>47.984715990266999</v>
      </c>
      <c r="AA55" s="5">
        <v>101122.54718978297</v>
      </c>
      <c r="AB55" s="5">
        <v>7742.5047525572145</v>
      </c>
      <c r="AC55" s="5">
        <v>5816.1952939850962</v>
      </c>
      <c r="AD55" s="5">
        <v>986.07591937850611</v>
      </c>
      <c r="AE55" s="5">
        <v>522.82183184635335</v>
      </c>
      <c r="AF55" s="5">
        <v>2758.8216490942241</v>
      </c>
      <c r="AG55" s="5">
        <v>14662.536320030413</v>
      </c>
      <c r="AH55" s="5">
        <v>5437.5838050330676</v>
      </c>
      <c r="AI55" s="5">
        <f t="shared" si="13"/>
        <v>37926.539571924877</v>
      </c>
      <c r="AJ55" s="20">
        <f t="shared" si="8"/>
        <v>37.505522384385536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</row>
    <row r="56" spans="2:59" x14ac:dyDescent="0.3">
      <c r="B56" s="6">
        <v>2019</v>
      </c>
      <c r="C56" s="5" t="s">
        <v>32</v>
      </c>
      <c r="D56">
        <v>226.55333333333331</v>
      </c>
      <c r="E56" s="5">
        <v>101708.63401830407</v>
      </c>
      <c r="F56" s="5">
        <v>32.909999999999997</v>
      </c>
      <c r="G56" s="5">
        <f t="shared" si="5"/>
        <v>3090.508478222549</v>
      </c>
      <c r="H56" s="6">
        <f t="shared" si="9"/>
        <v>1364.1416935920383</v>
      </c>
      <c r="I56" s="5">
        <v>148.88668321100829</v>
      </c>
      <c r="J56" s="5">
        <v>60.734084355456126</v>
      </c>
      <c r="K56" s="5">
        <v>59.929807182514367</v>
      </c>
      <c r="L56" s="6">
        <f t="shared" si="10"/>
        <v>10.914312194282546</v>
      </c>
      <c r="M56" s="6">
        <f t="shared" si="11"/>
        <v>4.4521829836849287</v>
      </c>
      <c r="N56" s="6">
        <f t="shared" si="12"/>
        <v>4.3932245062247199</v>
      </c>
      <c r="O56" s="5">
        <v>3627.1190056627438</v>
      </c>
      <c r="P56" s="5">
        <v>3076.1890735728193</v>
      </c>
      <c r="Q56" s="5">
        <v>377.98551003182456</v>
      </c>
      <c r="R56" s="5">
        <v>10334.289635166046</v>
      </c>
      <c r="S56" s="5">
        <v>2822.220425775306</v>
      </c>
      <c r="T56" s="5">
        <v>6280.7970135808191</v>
      </c>
      <c r="U56" s="5">
        <v>4998.1762927492291</v>
      </c>
      <c r="V56" s="5">
        <v>5407.4948866763671</v>
      </c>
      <c r="W56" s="5">
        <v>2876.2268700821942</v>
      </c>
      <c r="X56" s="5">
        <v>8894.4855041218816</v>
      </c>
      <c r="Y56" s="5">
        <f t="shared" si="6"/>
        <v>48694.984217419238</v>
      </c>
      <c r="Z56" s="5">
        <f t="shared" si="7"/>
        <v>47.876363768660177</v>
      </c>
      <c r="AA56" s="5">
        <v>101709.86345728897</v>
      </c>
      <c r="AB56" s="5">
        <v>7851.8900979044311</v>
      </c>
      <c r="AC56" s="5">
        <v>5540.3340060001101</v>
      </c>
      <c r="AD56" s="5">
        <v>946.84683226005734</v>
      </c>
      <c r="AE56" s="5">
        <v>943.22305437184843</v>
      </c>
      <c r="AF56" s="5">
        <v>2783.5694464607227</v>
      </c>
      <c r="AG56" s="5">
        <v>13769.81358116324</v>
      </c>
      <c r="AH56" s="5">
        <v>5561.8165710678195</v>
      </c>
      <c r="AI56" s="5">
        <f t="shared" si="13"/>
        <v>37397.49358922823</v>
      </c>
      <c r="AJ56" s="20">
        <f t="shared" si="8"/>
        <v>36.768797359493618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</row>
    <row r="57" spans="2:59" x14ac:dyDescent="0.3">
      <c r="B57" s="6">
        <v>2019</v>
      </c>
      <c r="C57" s="5" t="s">
        <v>33</v>
      </c>
      <c r="D57">
        <v>227.89999999999998</v>
      </c>
      <c r="E57" s="5">
        <v>104476.83783712842</v>
      </c>
      <c r="F57" s="5">
        <v>33.226666666666667</v>
      </c>
      <c r="G57" s="5">
        <f t="shared" si="5"/>
        <v>3144.3671098654218</v>
      </c>
      <c r="H57" s="6">
        <f t="shared" si="9"/>
        <v>1379.7135190282677</v>
      </c>
      <c r="I57" s="5">
        <v>158.21384219253491</v>
      </c>
      <c r="J57" s="5">
        <v>63.009112671115041</v>
      </c>
      <c r="K57" s="5">
        <v>52.889557566597411</v>
      </c>
      <c r="L57" s="6">
        <f t="shared" si="10"/>
        <v>11.467151695662512</v>
      </c>
      <c r="M57" s="6">
        <f t="shared" si="11"/>
        <v>4.5668257795641782</v>
      </c>
      <c r="N57" s="6">
        <f t="shared" si="12"/>
        <v>3.8333724238527087</v>
      </c>
      <c r="O57" s="5">
        <v>3702.3885521407433</v>
      </c>
      <c r="P57" s="5">
        <v>3010.3027031009278</v>
      </c>
      <c r="Q57" s="5">
        <v>354.15761778344631</v>
      </c>
      <c r="R57" s="5">
        <v>10031.397031668197</v>
      </c>
      <c r="S57" s="5">
        <v>3086.0935171034821</v>
      </c>
      <c r="T57" s="5">
        <v>6253.3410950451271</v>
      </c>
      <c r="U57" s="5">
        <v>5047.189804997116</v>
      </c>
      <c r="V57" s="5">
        <v>5517.052811843665</v>
      </c>
      <c r="W57" s="5">
        <v>2937.2656586825969</v>
      </c>
      <c r="X57" s="5">
        <v>8692.8309317753192</v>
      </c>
      <c r="Y57" s="5">
        <f t="shared" si="6"/>
        <v>48632.019724140628</v>
      </c>
      <c r="Z57" s="5">
        <f t="shared" si="7"/>
        <v>46.548177694192894</v>
      </c>
      <c r="AA57" s="5">
        <v>104476.74244873329</v>
      </c>
      <c r="AB57" s="5">
        <v>8689.2508415697412</v>
      </c>
      <c r="AC57" s="5">
        <v>6044.5983793370069</v>
      </c>
      <c r="AD57" s="5">
        <v>926.78150768794194</v>
      </c>
      <c r="AE57" s="5">
        <v>822.73852983689846</v>
      </c>
      <c r="AF57" s="5">
        <v>4006.9359179119865</v>
      </c>
      <c r="AG57" s="5">
        <v>15153.318652957038</v>
      </c>
      <c r="AH57" s="5">
        <v>5115.5836577284781</v>
      </c>
      <c r="AI57" s="5">
        <f t="shared" si="13"/>
        <v>40759.207487029089</v>
      </c>
      <c r="AJ57" s="20">
        <f t="shared" si="8"/>
        <v>39.012708983561218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</row>
    <row r="58" spans="2:59" x14ac:dyDescent="0.3">
      <c r="B58" s="6">
        <v>2019</v>
      </c>
      <c r="C58" s="5" t="s">
        <v>34</v>
      </c>
      <c r="D58">
        <v>230.42333333333332</v>
      </c>
      <c r="E58" s="5">
        <v>113307.27649113312</v>
      </c>
      <c r="F58" s="5">
        <v>33.543333333333337</v>
      </c>
      <c r="G58" s="5">
        <f t="shared" si="5"/>
        <v>3377.9372898082015</v>
      </c>
      <c r="H58" s="6">
        <f t="shared" si="9"/>
        <v>1465.9701519557632</v>
      </c>
      <c r="I58" s="5">
        <v>155.87604493711646</v>
      </c>
      <c r="J58" s="5">
        <v>65.79513539449448</v>
      </c>
      <c r="K58" s="5">
        <v>41.904985743755809</v>
      </c>
      <c r="L58" s="6">
        <f t="shared" si="10"/>
        <v>10.632961709974854</v>
      </c>
      <c r="M58" s="6">
        <f t="shared" si="11"/>
        <v>4.4881633713153457</v>
      </c>
      <c r="N58" s="6">
        <f t="shared" si="12"/>
        <v>2.8585156176508786</v>
      </c>
      <c r="O58" s="5">
        <v>5381.0695207396375</v>
      </c>
      <c r="P58" s="5">
        <v>2627.5961742201234</v>
      </c>
      <c r="Q58" s="5">
        <v>356.98364009004598</v>
      </c>
      <c r="R58" s="5">
        <v>11566.577927983857</v>
      </c>
      <c r="S58" s="5">
        <v>3863.7129664195263</v>
      </c>
      <c r="T58" s="5">
        <v>6620.1795128671929</v>
      </c>
      <c r="U58" s="5">
        <v>5583.4752529059833</v>
      </c>
      <c r="V58" s="5">
        <v>5560.1195271011402</v>
      </c>
      <c r="W58" s="5">
        <v>3031.0632152115786</v>
      </c>
      <c r="X58" s="5">
        <v>8885.493553297807</v>
      </c>
      <c r="Y58" s="5">
        <f t="shared" si="6"/>
        <v>53476.271290836892</v>
      </c>
      <c r="Z58" s="5">
        <f t="shared" si="7"/>
        <v>47.19688240606586</v>
      </c>
      <c r="AA58" s="5">
        <v>113304.66879304721</v>
      </c>
      <c r="AB58" s="5">
        <v>9774.9514960439756</v>
      </c>
      <c r="AC58" s="5">
        <v>6616.742045101636</v>
      </c>
      <c r="AD58" s="5">
        <v>963.46203327770604</v>
      </c>
      <c r="AE58" s="5">
        <v>1132.0016804123763</v>
      </c>
      <c r="AF58" s="5">
        <v>4079.1413309283435</v>
      </c>
      <c r="AG58" s="5">
        <v>15465.82730955887</v>
      </c>
      <c r="AH58" s="5">
        <v>5119.0204248735517</v>
      </c>
      <c r="AI58" s="5">
        <f t="shared" si="13"/>
        <v>43151.146320196465</v>
      </c>
      <c r="AJ58" s="20">
        <f t="shared" si="8"/>
        <v>38.084173211796532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</row>
    <row r="59" spans="2:59" x14ac:dyDescent="0.3">
      <c r="B59" s="6">
        <v>2020</v>
      </c>
      <c r="C59" s="5" t="s">
        <v>31</v>
      </c>
      <c r="D59">
        <v>232.98000000000002</v>
      </c>
      <c r="E59" s="5">
        <v>110256.75958980888</v>
      </c>
      <c r="F59" s="5">
        <v>33.816666666666663</v>
      </c>
      <c r="G59" s="5">
        <f t="shared" si="5"/>
        <v>3260.426601965763</v>
      </c>
      <c r="H59" s="6">
        <f t="shared" si="9"/>
        <v>1399.4448458948248</v>
      </c>
      <c r="I59" s="5">
        <v>149.6360902859424</v>
      </c>
      <c r="J59" s="5">
        <v>60.734013710253102</v>
      </c>
      <c r="K59" s="5">
        <v>61.534040773165678</v>
      </c>
      <c r="L59" s="6">
        <f t="shared" si="10"/>
        <v>10.692532165514745</v>
      </c>
      <c r="M59" s="6">
        <f t="shared" si="11"/>
        <v>4.3398647605450229</v>
      </c>
      <c r="N59" s="6">
        <f t="shared" si="12"/>
        <v>4.3970322198600078</v>
      </c>
      <c r="O59" s="5">
        <v>3971.8740346967634</v>
      </c>
      <c r="P59" s="5">
        <v>3170.1748569431234</v>
      </c>
      <c r="Q59" s="5">
        <v>379.72147812352074</v>
      </c>
      <c r="R59" s="5">
        <v>12137.597709595277</v>
      </c>
      <c r="S59" s="5">
        <v>3736.2326560774445</v>
      </c>
      <c r="T59" s="5">
        <v>6396.6939712231915</v>
      </c>
      <c r="U59" s="5">
        <v>5182.2308715305362</v>
      </c>
      <c r="V59" s="5">
        <v>5355.8668380587569</v>
      </c>
      <c r="W59" s="5">
        <v>3240.1088235457901</v>
      </c>
      <c r="X59" s="5">
        <v>8603.5365703675889</v>
      </c>
      <c r="Y59" s="5">
        <f t="shared" si="6"/>
        <v>52174.037810161986</v>
      </c>
      <c r="Z59" s="5">
        <f t="shared" si="7"/>
        <v>47.321217212778592</v>
      </c>
      <c r="AA59" s="5">
        <v>110255.0629151461</v>
      </c>
      <c r="AB59" s="5">
        <v>7964.6500706544211</v>
      </c>
      <c r="AC59" s="5">
        <v>6446.1924509688497</v>
      </c>
      <c r="AD59" s="5">
        <v>1059.9530791906268</v>
      </c>
      <c r="AE59" s="5">
        <v>803.70570806851867</v>
      </c>
      <c r="AF59" s="5">
        <v>4488.9592730835075</v>
      </c>
      <c r="AG59" s="5">
        <v>16828.060647801078</v>
      </c>
      <c r="AH59" s="5">
        <v>4955.4018442004226</v>
      </c>
      <c r="AI59" s="5">
        <f t="shared" si="13"/>
        <v>42546.923073967431</v>
      </c>
      <c r="AJ59" s="20">
        <f t="shared" si="8"/>
        <v>38.589541331732001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</row>
    <row r="60" spans="2:59" x14ac:dyDescent="0.3">
      <c r="B60" s="6">
        <v>2020</v>
      </c>
      <c r="C60" s="5" t="s">
        <v>32</v>
      </c>
      <c r="D60">
        <v>233.95333333333335</v>
      </c>
      <c r="E60" s="5">
        <v>99666.0121454521</v>
      </c>
      <c r="F60" s="5">
        <v>34.123333333333335</v>
      </c>
      <c r="G60" s="5">
        <f t="shared" si="5"/>
        <v>2920.7583905085112</v>
      </c>
      <c r="H60" s="6">
        <f t="shared" si="9"/>
        <v>1248.4363222758859</v>
      </c>
      <c r="I60" s="5">
        <v>97.015224083839072</v>
      </c>
      <c r="J60" s="5">
        <v>62.111252417709174</v>
      </c>
      <c r="K60" s="5">
        <v>60.706710249831133</v>
      </c>
      <c r="L60" s="6">
        <f t="shared" si="10"/>
        <v>7.7709389219773231</v>
      </c>
      <c r="M60" s="6">
        <f t="shared" si="11"/>
        <v>4.9751237856073454</v>
      </c>
      <c r="N60" s="6">
        <f t="shared" si="12"/>
        <v>4.8626196760411027</v>
      </c>
      <c r="O60" s="5">
        <v>3766.2670748024229</v>
      </c>
      <c r="P60" s="5">
        <v>3072.7309353361156</v>
      </c>
      <c r="Q60" s="5">
        <v>385.57035842033383</v>
      </c>
      <c r="R60" s="5">
        <v>10373.404973737373</v>
      </c>
      <c r="S60" s="5">
        <v>1478.9655588383439</v>
      </c>
      <c r="T60" s="5">
        <v>6428.7875724547503</v>
      </c>
      <c r="U60" s="5">
        <v>5306.8515976711933</v>
      </c>
      <c r="V60" s="5">
        <v>5398.4215571422492</v>
      </c>
      <c r="W60" s="5">
        <v>3202.5176240221913</v>
      </c>
      <c r="X60" s="5">
        <v>8808.7486999507255</v>
      </c>
      <c r="Y60" s="5">
        <f t="shared" si="6"/>
        <v>48222.265952375696</v>
      </c>
      <c r="Z60" s="5">
        <f t="shared" si="7"/>
        <v>48.383349653024318</v>
      </c>
      <c r="AA60" s="5">
        <v>99667.067902896728</v>
      </c>
      <c r="AB60" s="5">
        <v>9493.0573862723595</v>
      </c>
      <c r="AC60" s="5">
        <v>5626.2146043680768</v>
      </c>
      <c r="AD60" s="5">
        <v>998.57385822240337</v>
      </c>
      <c r="AE60" s="5">
        <v>531.25729660698835</v>
      </c>
      <c r="AF60" s="5">
        <v>3670.174553698625</v>
      </c>
      <c r="AG60" s="5">
        <v>12086.909302543501</v>
      </c>
      <c r="AH60" s="5">
        <v>4852.4466960713344</v>
      </c>
      <c r="AI60" s="5">
        <f t="shared" si="13"/>
        <v>37258.633697783283</v>
      </c>
      <c r="AJ60" s="20">
        <f t="shared" si="8"/>
        <v>37.383094016655022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</row>
    <row r="61" spans="2:59" x14ac:dyDescent="0.3">
      <c r="B61" s="6">
        <v>2020</v>
      </c>
      <c r="C61" s="5" t="s">
        <v>33</v>
      </c>
      <c r="D61">
        <v>234.83333333333334</v>
      </c>
      <c r="E61" s="5">
        <v>109592.19516074247</v>
      </c>
      <c r="F61" s="5">
        <v>34.53</v>
      </c>
      <c r="G61" s="5">
        <f t="shared" si="5"/>
        <v>3173.8255187009113</v>
      </c>
      <c r="H61" s="6">
        <f t="shared" si="9"/>
        <v>1351.5225771614953</v>
      </c>
      <c r="I61" s="5">
        <v>143.19325163495071</v>
      </c>
      <c r="J61" s="5">
        <v>68.429720324592424</v>
      </c>
      <c r="K61" s="5">
        <v>55.743490630761478</v>
      </c>
      <c r="L61" s="6">
        <f t="shared" si="10"/>
        <v>10.594958164567927</v>
      </c>
      <c r="M61" s="6">
        <f t="shared" si="11"/>
        <v>5.0631577659849674</v>
      </c>
      <c r="N61" s="6">
        <f t="shared" si="12"/>
        <v>4.1244957037887957</v>
      </c>
      <c r="O61" s="5">
        <v>3668.5451082156478</v>
      </c>
      <c r="P61" s="5">
        <v>2803.5287005810487</v>
      </c>
      <c r="Q61" s="5">
        <v>371.1035552093054</v>
      </c>
      <c r="R61" s="5">
        <v>10833.712248519827</v>
      </c>
      <c r="S61" s="5">
        <v>1969.7870752102992</v>
      </c>
      <c r="T61" s="5">
        <v>6342.4364475614739</v>
      </c>
      <c r="U61" s="5">
        <v>5337.6784779552809</v>
      </c>
      <c r="V61" s="5">
        <v>5464.2868721217856</v>
      </c>
      <c r="W61" s="5">
        <v>3192.9676178618065</v>
      </c>
      <c r="X61" s="5">
        <v>8816.4242046609452</v>
      </c>
      <c r="Y61" s="5">
        <f t="shared" si="6"/>
        <v>48800.470307897427</v>
      </c>
      <c r="Z61" s="5">
        <f t="shared" si="7"/>
        <v>44.527517180944656</v>
      </c>
      <c r="AA61" s="5">
        <v>109596.20791248915</v>
      </c>
      <c r="AB61" s="5">
        <v>10240.628086901983</v>
      </c>
      <c r="AC61" s="5">
        <v>6184.5976660603674</v>
      </c>
      <c r="AD61" s="5">
        <v>917.97934767697768</v>
      </c>
      <c r="AE61" s="5">
        <v>696.46412187174735</v>
      </c>
      <c r="AF61" s="5">
        <v>6561.5479102389772</v>
      </c>
      <c r="AG61" s="5">
        <v>16342.021915247182</v>
      </c>
      <c r="AH61" s="5">
        <v>4859.1737651546227</v>
      </c>
      <c r="AI61" s="5">
        <f t="shared" si="13"/>
        <v>45802.412813151852</v>
      </c>
      <c r="AJ61" s="20">
        <f t="shared" si="8"/>
        <v>41.791968614210049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 spans="2:59" x14ac:dyDescent="0.3">
      <c r="B62" s="6">
        <v>2020</v>
      </c>
      <c r="C62" s="5" t="s">
        <v>34</v>
      </c>
      <c r="D62">
        <v>236.77</v>
      </c>
      <c r="E62" s="5">
        <v>117537.38485629862</v>
      </c>
      <c r="F62" s="5">
        <v>34.646666666666668</v>
      </c>
      <c r="G62" s="5">
        <f t="shared" si="5"/>
        <v>3392.4586739358847</v>
      </c>
      <c r="H62" s="6">
        <f t="shared" si="9"/>
        <v>1432.8076504353951</v>
      </c>
      <c r="I62" s="5">
        <v>138.09933869341936</v>
      </c>
      <c r="J62" s="5">
        <v>71.578809875068444</v>
      </c>
      <c r="K62" s="5">
        <v>48.063748986095682</v>
      </c>
      <c r="L62" s="6">
        <f t="shared" si="10"/>
        <v>9.6383725094889297</v>
      </c>
      <c r="M62" s="6">
        <f t="shared" si="11"/>
        <v>4.9957026578771684</v>
      </c>
      <c r="N62" s="6">
        <f t="shared" si="12"/>
        <v>3.3545150998803148</v>
      </c>
      <c r="O62" s="5">
        <v>6148.7100919370823</v>
      </c>
      <c r="P62" s="5">
        <v>2654.3578251151735</v>
      </c>
      <c r="Q62" s="5">
        <v>370.98139442117451</v>
      </c>
      <c r="R62" s="5">
        <v>12413.021750788874</v>
      </c>
      <c r="S62" s="5">
        <v>2716.1966963276072</v>
      </c>
      <c r="T62" s="5">
        <v>6823.4381974729959</v>
      </c>
      <c r="U62" s="5">
        <v>5758.283598924264</v>
      </c>
      <c r="V62" s="5">
        <v>5641.896595069049</v>
      </c>
      <c r="W62" s="5">
        <v>3227.700530026555</v>
      </c>
      <c r="X62" s="5">
        <v>9023.9774199878611</v>
      </c>
      <c r="Y62" s="5">
        <f t="shared" si="6"/>
        <v>54778.564100070631</v>
      </c>
      <c r="Z62" s="5">
        <f t="shared" si="7"/>
        <v>46.606563233471768</v>
      </c>
      <c r="AA62" s="5">
        <v>117534.01302229021</v>
      </c>
      <c r="AB62" s="5">
        <v>10080.012815764871</v>
      </c>
      <c r="AC62" s="5">
        <v>6665.0079960883741</v>
      </c>
      <c r="AD62" s="5">
        <v>1025.4983594264127</v>
      </c>
      <c r="AE62" s="5">
        <v>787.16317274184757</v>
      </c>
      <c r="AF62" s="5">
        <v>6176.959417131131</v>
      </c>
      <c r="AG62" s="5">
        <v>15799.006550687556</v>
      </c>
      <c r="AH62" s="5">
        <v>4703.3880851167933</v>
      </c>
      <c r="AI62" s="5">
        <f t="shared" si="13"/>
        <v>45237.036396956981</v>
      </c>
      <c r="AJ62" s="20">
        <f t="shared" si="8"/>
        <v>38.488464091137445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 spans="2:59" x14ac:dyDescent="0.3">
      <c r="B63" s="6">
        <v>2021</v>
      </c>
      <c r="C63" s="5" t="s">
        <v>31</v>
      </c>
      <c r="D63">
        <v>241.57333333333335</v>
      </c>
      <c r="E63" s="5">
        <v>119363.30020286165</v>
      </c>
      <c r="F63" s="5">
        <v>34.803333333333335</v>
      </c>
      <c r="G63" s="5">
        <f t="shared" si="5"/>
        <v>3429.6513802182253</v>
      </c>
      <c r="H63" s="6">
        <f t="shared" si="9"/>
        <v>1419.7143918554302</v>
      </c>
      <c r="I63" s="5">
        <v>161.60990998233856</v>
      </c>
      <c r="J63" s="5">
        <v>69.028639962322089</v>
      </c>
      <c r="K63" s="5">
        <v>67.545785126609729</v>
      </c>
      <c r="L63" s="6">
        <f t="shared" si="10"/>
        <v>11.383269121554086</v>
      </c>
      <c r="M63" s="6">
        <f t="shared" si="11"/>
        <v>4.8621497646514866</v>
      </c>
      <c r="N63" s="6">
        <f t="shared" si="12"/>
        <v>4.757702360003119</v>
      </c>
      <c r="O63" s="5">
        <v>4923.2427247169926</v>
      </c>
      <c r="P63" s="5">
        <v>3252.3557282043048</v>
      </c>
      <c r="Q63" s="5">
        <v>388.40215612741639</v>
      </c>
      <c r="R63" s="5">
        <v>12969.291126295573</v>
      </c>
      <c r="S63" s="5">
        <v>2984.148129141332</v>
      </c>
      <c r="T63" s="5">
        <v>6416.3760157939305</v>
      </c>
      <c r="U63" s="5">
        <v>5333.7109055192386</v>
      </c>
      <c r="V63" s="5">
        <v>5440.1631439041366</v>
      </c>
      <c r="W63" s="5">
        <v>3326.5770554940059</v>
      </c>
      <c r="X63" s="5">
        <v>8637.6928463997392</v>
      </c>
      <c r="Y63" s="5">
        <f t="shared" si="6"/>
        <v>53671.959831596672</v>
      </c>
      <c r="Z63" s="5">
        <f t="shared" si="7"/>
        <v>44.967813140358508</v>
      </c>
      <c r="AA63" s="5">
        <v>119356.39312516671</v>
      </c>
      <c r="AB63" s="5">
        <v>8861.1229120919743</v>
      </c>
      <c r="AC63" s="5">
        <v>6813.6931731708637</v>
      </c>
      <c r="AD63" s="5">
        <v>1046.5498121682087</v>
      </c>
      <c r="AE63" s="5">
        <v>778.33712669074328</v>
      </c>
      <c r="AF63" s="5">
        <v>6340.8787033488397</v>
      </c>
      <c r="AG63" s="5">
        <v>18796.330028779874</v>
      </c>
      <c r="AH63" s="5">
        <v>4831.8623205084314</v>
      </c>
      <c r="AI63" s="5">
        <f t="shared" si="13"/>
        <v>47468.774076758935</v>
      </c>
      <c r="AJ63" s="20">
        <f t="shared" si="8"/>
        <v>39.770617085403515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 spans="2:59" x14ac:dyDescent="0.3">
      <c r="B64" s="6">
        <v>2021</v>
      </c>
      <c r="C64" s="5" t="s">
        <v>32</v>
      </c>
      <c r="D64">
        <v>243.55666666666664</v>
      </c>
      <c r="E64" s="5">
        <v>120754.72543142534</v>
      </c>
      <c r="F64" s="5">
        <v>34.933333333333337</v>
      </c>
      <c r="G64" s="5">
        <f t="shared" si="5"/>
        <v>3456.7192394491981</v>
      </c>
      <c r="H64" s="6">
        <f t="shared" si="9"/>
        <v>1419.2669355998735</v>
      </c>
      <c r="I64" s="5">
        <v>161.65295383131311</v>
      </c>
      <c r="J64" s="5">
        <v>72.513936333182514</v>
      </c>
      <c r="K64" s="5">
        <v>76.112896902874922</v>
      </c>
      <c r="L64" s="6">
        <f t="shared" si="10"/>
        <v>11.389890779283755</v>
      </c>
      <c r="M64" s="6">
        <f t="shared" si="11"/>
        <v>5.1092528483750987</v>
      </c>
      <c r="N64" s="6">
        <f t="shared" si="12"/>
        <v>5.3628316839992269</v>
      </c>
      <c r="O64" s="5">
        <v>4831.9489262819052</v>
      </c>
      <c r="P64" s="5">
        <v>3518.5505833673774</v>
      </c>
      <c r="Q64" s="5">
        <v>402.45075768031472</v>
      </c>
      <c r="R64" s="5">
        <v>13668.30136846741</v>
      </c>
      <c r="S64" s="5">
        <v>2220.1934865499156</v>
      </c>
      <c r="T64" s="5">
        <v>6576.1022172392668</v>
      </c>
      <c r="U64" s="5">
        <v>5290.8045581026099</v>
      </c>
      <c r="V64" s="5">
        <v>5491.0880483090186</v>
      </c>
      <c r="W64" s="5">
        <v>3407.7006194927653</v>
      </c>
      <c r="X64" s="5">
        <v>9682.2304938904199</v>
      </c>
      <c r="Y64" s="5">
        <f t="shared" si="6"/>
        <v>55089.371059381003</v>
      </c>
      <c r="Z64" s="5">
        <f t="shared" si="7"/>
        <v>45.623174234165802</v>
      </c>
      <c r="AA64" s="5">
        <v>120748.65895263871</v>
      </c>
      <c r="AB64" s="5">
        <v>9657.7071736622784</v>
      </c>
      <c r="AC64" s="5">
        <v>6909.8018649765863</v>
      </c>
      <c r="AD64" s="5">
        <v>981.19964744119147</v>
      </c>
      <c r="AE64" s="5">
        <v>757.4879845737463</v>
      </c>
      <c r="AF64" s="5">
        <v>6617.7417795999681</v>
      </c>
      <c r="AG64" s="5">
        <v>16789.102554712612</v>
      </c>
      <c r="AH64" s="5">
        <v>4890.7069686610193</v>
      </c>
      <c r="AI64" s="5">
        <f t="shared" si="13"/>
        <v>46603.747973627396</v>
      </c>
      <c r="AJ64" s="20">
        <f t="shared" si="8"/>
        <v>38.595665059855286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 spans="2:59" x14ac:dyDescent="0.3">
      <c r="B65" s="6">
        <v>2021</v>
      </c>
      <c r="C65" s="5" t="s">
        <v>33</v>
      </c>
      <c r="D65">
        <v>246.53333333333333</v>
      </c>
      <c r="E65" s="5">
        <v>123493.9143516327</v>
      </c>
      <c r="F65" s="5">
        <v>35.113333333333337</v>
      </c>
      <c r="G65" s="5">
        <f t="shared" si="5"/>
        <v>3517.0091423476179</v>
      </c>
      <c r="H65" s="6">
        <f t="shared" si="9"/>
        <v>1426.5856445433822</v>
      </c>
      <c r="I65" s="5">
        <v>175.97685255062717</v>
      </c>
      <c r="J65" s="5">
        <v>71.269508753317368</v>
      </c>
      <c r="K65" s="5">
        <v>58.461816222893276</v>
      </c>
      <c r="L65" s="6">
        <f t="shared" si="10"/>
        <v>12.335526662821101</v>
      </c>
      <c r="M65" s="6">
        <f t="shared" si="11"/>
        <v>4.9958100325710992</v>
      </c>
      <c r="N65" s="6">
        <f t="shared" si="12"/>
        <v>4.0980235884544864</v>
      </c>
      <c r="O65" s="5">
        <v>5754.9721966516727</v>
      </c>
      <c r="P65" s="5">
        <v>3105.6678720887935</v>
      </c>
      <c r="Q65" s="5">
        <v>387.51472222880295</v>
      </c>
      <c r="R65" s="5">
        <v>13347.596838723721</v>
      </c>
      <c r="S65" s="5">
        <v>2493.7349067307537</v>
      </c>
      <c r="T65" s="5">
        <v>6591.2232103607812</v>
      </c>
      <c r="U65" s="5">
        <v>5562.579294269106</v>
      </c>
      <c r="V65" s="5">
        <v>5645.3803776822633</v>
      </c>
      <c r="W65" s="5">
        <v>3362.2004270432585</v>
      </c>
      <c r="X65" s="5">
        <v>8946.0790306204581</v>
      </c>
      <c r="Y65" s="5">
        <f t="shared" si="6"/>
        <v>55196.948876399612</v>
      </c>
      <c r="Z65" s="5">
        <f t="shared" si="7"/>
        <v>44.691616920831848</v>
      </c>
      <c r="AA65" s="5">
        <v>123506.26958558525</v>
      </c>
      <c r="AB65" s="5">
        <v>10411.780436521385</v>
      </c>
      <c r="AC65" s="5">
        <v>7457.6682740908509</v>
      </c>
      <c r="AD65" s="5">
        <v>954.96648496856528</v>
      </c>
      <c r="AE65" s="5">
        <v>728.86040337698694</v>
      </c>
      <c r="AF65" s="5">
        <v>6667.9877226942781</v>
      </c>
      <c r="AG65" s="5">
        <v>18103.056928036895</v>
      </c>
      <c r="AH65" s="5">
        <v>5237.6777640912424</v>
      </c>
      <c r="AI65" s="5">
        <f t="shared" si="13"/>
        <v>49561.998013780198</v>
      </c>
      <c r="AJ65" s="20">
        <f t="shared" si="8"/>
        <v>40.129135290120296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</row>
    <row r="66" spans="2:59" x14ac:dyDescent="0.3">
      <c r="B66" s="6">
        <v>2021</v>
      </c>
      <c r="C66" s="5" t="s">
        <v>34</v>
      </c>
      <c r="D66">
        <v>253.12666666666669</v>
      </c>
      <c r="E66" s="5">
        <v>136133.75675277063</v>
      </c>
      <c r="F66" s="5">
        <v>35.333333333333336</v>
      </c>
      <c r="G66" s="5">
        <f t="shared" si="5"/>
        <v>3852.8421722482249</v>
      </c>
      <c r="H66" s="6">
        <f t="shared" si="9"/>
        <v>1522.1004657410879</v>
      </c>
      <c r="I66" s="5">
        <v>175.70125777856404</v>
      </c>
      <c r="J66" s="5">
        <v>77.607657531798694</v>
      </c>
      <c r="K66" s="5">
        <v>52.494890993208941</v>
      </c>
      <c r="L66" s="6">
        <f t="shared" si="10"/>
        <v>11.543341700051169</v>
      </c>
      <c r="M66" s="6">
        <f t="shared" si="11"/>
        <v>5.098721094866276</v>
      </c>
      <c r="N66" s="6">
        <f t="shared" si="12"/>
        <v>3.4488453406818955</v>
      </c>
      <c r="O66" s="5">
        <v>7480.8457226429509</v>
      </c>
      <c r="P66" s="5">
        <v>3130.3574175164408</v>
      </c>
      <c r="Q66" s="5">
        <v>390.34952829492244</v>
      </c>
      <c r="R66" s="5">
        <v>15022.048252461887</v>
      </c>
      <c r="S66" s="5">
        <v>3418.1052496720663</v>
      </c>
      <c r="T66" s="5">
        <v>7008.720245996009</v>
      </c>
      <c r="U66" s="5">
        <v>6103.0264200360889</v>
      </c>
      <c r="V66" s="5">
        <v>6185.9199605228814</v>
      </c>
      <c r="W66" s="5">
        <v>3365.8592073536079</v>
      </c>
      <c r="X66" s="5">
        <v>9565.5545674374971</v>
      </c>
      <c r="Y66" s="5">
        <f t="shared" si="6"/>
        <v>61670.786571934346</v>
      </c>
      <c r="Z66" s="5">
        <f t="shared" si="7"/>
        <v>45.301406450470239</v>
      </c>
      <c r="AA66" s="5">
        <v>136134.37507588507</v>
      </c>
      <c r="AB66" s="5">
        <v>12289.024615406595</v>
      </c>
      <c r="AC66" s="5">
        <v>8800.7801427657851</v>
      </c>
      <c r="AD66" s="5">
        <v>1082.089755432725</v>
      </c>
      <c r="AE66" s="5">
        <v>1078.4905237020705</v>
      </c>
      <c r="AF66" s="5">
        <v>6554.2103914036988</v>
      </c>
      <c r="AG66" s="5">
        <v>18924.454623013575</v>
      </c>
      <c r="AH66" s="5">
        <v>5225.3512913153718</v>
      </c>
      <c r="AI66" s="5">
        <f t="shared" si="13"/>
        <v>53954.401343039819</v>
      </c>
      <c r="AJ66" s="20">
        <f t="shared" si="8"/>
        <v>39.633194270708003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</row>
    <row r="67" spans="2:59" x14ac:dyDescent="0.3">
      <c r="B67" s="6">
        <v>2022</v>
      </c>
      <c r="C67" s="5" t="s">
        <v>31</v>
      </c>
      <c r="D67">
        <v>261.04666666666662</v>
      </c>
      <c r="E67" s="5">
        <v>131295.39671796415</v>
      </c>
      <c r="F67" s="5">
        <v>35.523333333333333</v>
      </c>
      <c r="G67" s="5">
        <f t="shared" si="5"/>
        <v>3696.0325622022374</v>
      </c>
      <c r="H67" s="6">
        <f t="shared" ref="H67:H74" si="14">(G67/D67)*100</f>
        <v>1415.8512764776046</v>
      </c>
      <c r="I67" s="5">
        <v>178.04067316950719</v>
      </c>
      <c r="J67" s="5">
        <v>80.728031211996139</v>
      </c>
      <c r="K67" s="5">
        <v>75.905755270617462</v>
      </c>
      <c r="L67" s="6">
        <f t="shared" ref="L67:L74" si="15">(I67/H67)*100</f>
        <v>12.574814609938542</v>
      </c>
      <c r="M67" s="6">
        <f t="shared" ref="M67:M74" si="16">(J67/H67)*100</f>
        <v>5.7017310047446257</v>
      </c>
      <c r="N67" s="6">
        <f t="shared" ref="N67:N74" si="17">(K67/H67)*100</f>
        <v>5.3611390215685635</v>
      </c>
      <c r="O67" s="5">
        <v>5412.7305968182964</v>
      </c>
      <c r="P67" s="5">
        <v>3641.9718099630977</v>
      </c>
      <c r="Q67" s="5">
        <v>412.90047534659681</v>
      </c>
      <c r="R67" s="5">
        <v>15194.267906286959</v>
      </c>
      <c r="S67" s="5">
        <v>3921.8631164393119</v>
      </c>
      <c r="T67" s="5">
        <v>6743.2749225588514</v>
      </c>
      <c r="U67" s="5">
        <v>5736.1701969553033</v>
      </c>
      <c r="V67" s="5">
        <v>5838.3525264455438</v>
      </c>
      <c r="W67" s="5">
        <v>3425.4201204943997</v>
      </c>
      <c r="X67" s="5">
        <v>9451.8097995175322</v>
      </c>
      <c r="Y67" s="5">
        <f t="shared" si="6"/>
        <v>59778.761470825892</v>
      </c>
      <c r="Z67" s="5">
        <f t="shared" si="7"/>
        <v>45.52651391974792</v>
      </c>
      <c r="AA67" s="5">
        <v>131305.37861124441</v>
      </c>
      <c r="AB67" s="5">
        <v>9793.072768352431</v>
      </c>
      <c r="AC67" s="5">
        <v>8069.9217012656036</v>
      </c>
      <c r="AD67" s="5">
        <v>1116.694373316823</v>
      </c>
      <c r="AE67" s="5">
        <v>864.42314989597787</v>
      </c>
      <c r="AF67" s="5">
        <v>6474.6225372720846</v>
      </c>
      <c r="AG67" s="5">
        <v>19752.412611128431</v>
      </c>
      <c r="AH67" s="5">
        <v>5403.0835098084999</v>
      </c>
      <c r="AI67" s="5">
        <f t="shared" ref="AI67:AI98" si="18">SUM(AB67:AH67)</f>
        <v>51474.230651039856</v>
      </c>
      <c r="AJ67" s="20">
        <f t="shared" si="8"/>
        <v>39.20192089269969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</row>
    <row r="68" spans="2:59" x14ac:dyDescent="0.3">
      <c r="B68" s="6">
        <v>2022</v>
      </c>
      <c r="C68" s="5" t="s">
        <v>32</v>
      </c>
      <c r="D68">
        <v>268.66333333333336</v>
      </c>
      <c r="E68" s="5">
        <v>136275.49188368183</v>
      </c>
      <c r="F68" s="5">
        <v>35.676666666666669</v>
      </c>
      <c r="G68" s="5">
        <f t="shared" ref="G68:G74" si="19">E68/F68</f>
        <v>3819.7372292912778</v>
      </c>
      <c r="H68" s="6">
        <f t="shared" si="14"/>
        <v>1421.7560624665111</v>
      </c>
      <c r="I68" s="5">
        <v>174.58876601985972</v>
      </c>
      <c r="J68" s="5">
        <v>94.72034892045076</v>
      </c>
      <c r="K68" s="5">
        <v>82.771016632689239</v>
      </c>
      <c r="L68" s="6">
        <f t="shared" si="15"/>
        <v>12.279797542552915</v>
      </c>
      <c r="M68" s="6">
        <f t="shared" si="16"/>
        <v>6.6622081959774908</v>
      </c>
      <c r="N68" s="6">
        <f t="shared" si="17"/>
        <v>5.8217452921632171</v>
      </c>
      <c r="O68" s="5">
        <v>5529.4523813486767</v>
      </c>
      <c r="P68" s="5">
        <v>3621.5013757253801</v>
      </c>
      <c r="Q68" s="5">
        <v>405.33554542921451</v>
      </c>
      <c r="R68" s="5">
        <v>16200.781734720511</v>
      </c>
      <c r="S68" s="5">
        <v>3022.8813677971502</v>
      </c>
      <c r="T68" s="5">
        <v>6915.4109288800755</v>
      </c>
      <c r="U68" s="5">
        <v>5835.8096380262641</v>
      </c>
      <c r="V68" s="5">
        <v>5871.5097621855739</v>
      </c>
      <c r="W68" s="5">
        <v>3590.6722732393846</v>
      </c>
      <c r="X68" s="5">
        <v>10371.843719563163</v>
      </c>
      <c r="Y68" s="5">
        <f t="shared" ref="Y68:Y74" si="20">SUM(O68:X68)</f>
        <v>61365.198726915391</v>
      </c>
      <c r="Z68" s="5">
        <f t="shared" ref="Z68:Z74" si="21">(Y68/AA68)*100</f>
        <v>45.029590108794551</v>
      </c>
      <c r="AA68" s="5">
        <v>136277.49792670307</v>
      </c>
      <c r="AB68" s="5">
        <v>12350.625576746468</v>
      </c>
      <c r="AC68" s="5">
        <v>7996.3997522562477</v>
      </c>
      <c r="AD68" s="5">
        <v>1086.1528804170625</v>
      </c>
      <c r="AE68" s="5">
        <v>779.23136176749438</v>
      </c>
      <c r="AF68" s="5">
        <v>6843.8646728065523</v>
      </c>
      <c r="AG68" s="5">
        <v>19198.087560444186</v>
      </c>
      <c r="AH68" s="5">
        <v>5343.3133607814843</v>
      </c>
      <c r="AI68" s="5">
        <f t="shared" ref="AI68:AI74" si="22">SUM(AB68:AH68)</f>
        <v>53597.675165219494</v>
      </c>
      <c r="AJ68" s="20">
        <f t="shared" ref="AJ68:AJ74" si="23">(AI68/AA68)*100</f>
        <v>39.329805713080404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</row>
    <row r="69" spans="2:59" x14ac:dyDescent="0.3">
      <c r="B69" s="6">
        <v>2022</v>
      </c>
      <c r="C69" s="5" t="s">
        <v>33</v>
      </c>
      <c r="D69">
        <v>275.3966666666667</v>
      </c>
      <c r="E69" s="5">
        <v>140532.99296691985</v>
      </c>
      <c r="F69" s="5">
        <v>35.85</v>
      </c>
      <c r="G69" s="5">
        <f t="shared" si="19"/>
        <v>3920.0276978220318</v>
      </c>
      <c r="H69" s="6">
        <f t="shared" si="14"/>
        <v>1423.4114542013451</v>
      </c>
      <c r="I69" s="5">
        <v>175.30631230641129</v>
      </c>
      <c r="J69" s="5">
        <v>104.34683109311685</v>
      </c>
      <c r="K69" s="5">
        <v>61.258123415690257</v>
      </c>
      <c r="L69" s="6">
        <f t="shared" si="15"/>
        <v>12.315926767975395</v>
      </c>
      <c r="M69" s="6">
        <f t="shared" si="16"/>
        <v>7.3307567383363716</v>
      </c>
      <c r="N69" s="6">
        <f t="shared" si="17"/>
        <v>4.3036132128121221</v>
      </c>
      <c r="O69" s="5">
        <v>5508.2958063816723</v>
      </c>
      <c r="P69" s="5">
        <v>2998.8723833961431</v>
      </c>
      <c r="Q69" s="5">
        <v>396.73088183936034</v>
      </c>
      <c r="R69" s="5">
        <v>15791.006428485314</v>
      </c>
      <c r="S69" s="5">
        <v>3762.9335224105184</v>
      </c>
      <c r="T69" s="5">
        <v>6907.5046174589352</v>
      </c>
      <c r="U69" s="5">
        <v>5879.5542796666768</v>
      </c>
      <c r="V69" s="5">
        <v>5918.8606139203885</v>
      </c>
      <c r="W69" s="5">
        <v>3516.5229556881077</v>
      </c>
      <c r="X69" s="5">
        <v>9901.5869286524776</v>
      </c>
      <c r="Y69" s="5">
        <f t="shared" si="20"/>
        <v>60581.868417899597</v>
      </c>
      <c r="Z69" s="5">
        <f t="shared" si="21"/>
        <v>43.108760872917479</v>
      </c>
      <c r="AA69" s="5">
        <v>140532.61376844486</v>
      </c>
      <c r="AB69" s="5">
        <v>14352.148658688457</v>
      </c>
      <c r="AC69" s="5">
        <v>8703.8076876295436</v>
      </c>
      <c r="AD69" s="5">
        <v>1127.2924490248695</v>
      </c>
      <c r="AE69" s="5">
        <v>765.37677308853301</v>
      </c>
      <c r="AF69" s="5">
        <v>6387.0644646077544</v>
      </c>
      <c r="AG69" s="5">
        <v>20941.364652924913</v>
      </c>
      <c r="AH69" s="5">
        <v>5787.1707750258729</v>
      </c>
      <c r="AI69" s="5">
        <f t="shared" si="22"/>
        <v>58064.225460989946</v>
      </c>
      <c r="AJ69" s="20">
        <f t="shared" si="23"/>
        <v>41.317260032366711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</row>
    <row r="70" spans="2:59" x14ac:dyDescent="0.3">
      <c r="B70" s="6">
        <v>2022</v>
      </c>
      <c r="C70" s="5" t="s">
        <v>34</v>
      </c>
      <c r="D70">
        <v>282.76333333333332</v>
      </c>
      <c r="E70" s="5">
        <v>152777.35451441896</v>
      </c>
      <c r="F70" s="5">
        <v>36</v>
      </c>
      <c r="G70" s="5">
        <f t="shared" si="19"/>
        <v>4243.8154031783042</v>
      </c>
      <c r="H70" s="6">
        <f t="shared" si="14"/>
        <v>1500.8365310842887</v>
      </c>
      <c r="I70" s="5">
        <v>154.28934462381696</v>
      </c>
      <c r="J70" s="5">
        <v>113.91568570638064</v>
      </c>
      <c r="K70" s="5">
        <v>47.596093545726909</v>
      </c>
      <c r="L70" s="6">
        <f t="shared" si="15"/>
        <v>10.28022315743805</v>
      </c>
      <c r="M70" s="6">
        <f t="shared" si="16"/>
        <v>7.5901461183171994</v>
      </c>
      <c r="N70" s="6">
        <f t="shared" si="17"/>
        <v>3.1713043066283051</v>
      </c>
      <c r="O70" s="5">
        <v>6638.0040709705499</v>
      </c>
      <c r="P70" s="5">
        <v>3109.8724088805493</v>
      </c>
      <c r="Q70" s="5">
        <v>395.84091574404727</v>
      </c>
      <c r="R70" s="5">
        <v>17586.942226051502</v>
      </c>
      <c r="S70" s="5">
        <v>5178.6586296846563</v>
      </c>
      <c r="T70" s="5">
        <v>7348.8921419569497</v>
      </c>
      <c r="U70" s="5">
        <v>6324.95549328176</v>
      </c>
      <c r="V70" s="5">
        <v>6410.6485890467093</v>
      </c>
      <c r="W70" s="5">
        <v>3604.3869572587232</v>
      </c>
      <c r="X70" s="5">
        <v>10569.655316812143</v>
      </c>
      <c r="Y70" s="5">
        <f t="shared" si="20"/>
        <v>67167.856749687591</v>
      </c>
      <c r="Z70" s="5">
        <f t="shared" si="21"/>
        <v>43.967878013457309</v>
      </c>
      <c r="AA70" s="5">
        <v>152765.74577724544</v>
      </c>
      <c r="AB70" s="5">
        <v>15321.304827934489</v>
      </c>
      <c r="AC70" s="5">
        <v>9553.5617346161453</v>
      </c>
      <c r="AD70" s="5">
        <v>1202.057060590427</v>
      </c>
      <c r="AE70" s="5">
        <v>1162.9783961033388</v>
      </c>
      <c r="AF70" s="5">
        <v>6719.5721818569664</v>
      </c>
      <c r="AG70" s="5">
        <v>21124.346422192797</v>
      </c>
      <c r="AH70" s="5">
        <v>6227.8168121730141</v>
      </c>
      <c r="AI70" s="5">
        <f t="shared" si="22"/>
        <v>61311.637435467172</v>
      </c>
      <c r="AJ70" s="20">
        <f t="shared" si="23"/>
        <v>40.134414376419443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</row>
    <row r="71" spans="2:59" x14ac:dyDescent="0.3">
      <c r="B71" s="6">
        <v>2023</v>
      </c>
      <c r="C71" s="5" t="s">
        <v>31</v>
      </c>
      <c r="D71">
        <v>289.24333333333334</v>
      </c>
      <c r="E71" s="5">
        <v>152604.14230122365</v>
      </c>
      <c r="F71" s="5">
        <v>36.156666666666666</v>
      </c>
      <c r="G71" s="5">
        <f t="shared" si="19"/>
        <v>4220.6363686150171</v>
      </c>
      <c r="H71" s="6">
        <f t="shared" si="14"/>
        <v>1459.1991870564636</v>
      </c>
      <c r="I71" s="5">
        <v>160.17420177474983</v>
      </c>
      <c r="J71" s="5">
        <v>117.54040304871462</v>
      </c>
      <c r="K71" s="5">
        <v>71.949982032236861</v>
      </c>
      <c r="L71" s="6">
        <f t="shared" si="15"/>
        <v>10.976856565953657</v>
      </c>
      <c r="M71" s="6">
        <f t="shared" si="16"/>
        <v>8.0551307930633058</v>
      </c>
      <c r="N71" s="6">
        <f t="shared" si="17"/>
        <v>4.9307855069037094</v>
      </c>
      <c r="O71" s="5">
        <v>6622.1922329179388</v>
      </c>
      <c r="P71" s="5">
        <v>3816.6725222230693</v>
      </c>
      <c r="Q71" s="5">
        <v>419.32479644976917</v>
      </c>
      <c r="R71" s="5">
        <v>17844.32582189349</v>
      </c>
      <c r="S71" s="5">
        <v>6238.8984986016585</v>
      </c>
      <c r="T71" s="5">
        <v>7065.6878883132285</v>
      </c>
      <c r="U71" s="5">
        <v>6058.5927773079466</v>
      </c>
      <c r="V71" s="5">
        <v>6114.107213772978</v>
      </c>
      <c r="W71" s="5">
        <v>3675.1712804601807</v>
      </c>
      <c r="X71" s="5">
        <v>10750.725749659654</v>
      </c>
      <c r="Y71" s="5">
        <f t="shared" si="20"/>
        <v>68605.698781599916</v>
      </c>
      <c r="Z71" s="5">
        <f t="shared" si="21"/>
        <v>44.970172664272688</v>
      </c>
      <c r="AA71" s="5">
        <v>152558.22852578209</v>
      </c>
      <c r="AB71" s="5">
        <v>11682.958326643156</v>
      </c>
      <c r="AC71" s="5">
        <v>9057.7687335917562</v>
      </c>
      <c r="AD71" s="5">
        <v>1218.6827463425943</v>
      </c>
      <c r="AE71" s="5">
        <v>807.72188026061588</v>
      </c>
      <c r="AF71" s="5">
        <v>7895.8547914646269</v>
      </c>
      <c r="AG71" s="5">
        <v>23776.466912090869</v>
      </c>
      <c r="AH71" s="5">
        <v>6615.1191207834318</v>
      </c>
      <c r="AI71" s="5">
        <f t="shared" si="22"/>
        <v>61054.572511177052</v>
      </c>
      <c r="AJ71" s="20">
        <f t="shared" si="23"/>
        <v>40.020504368178955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</row>
    <row r="72" spans="2:59" x14ac:dyDescent="0.3">
      <c r="B72" s="6">
        <v>2023</v>
      </c>
      <c r="C72" s="5" t="s">
        <v>32</v>
      </c>
      <c r="D72">
        <v>294.52666666666664</v>
      </c>
      <c r="E72" s="5">
        <v>156637.46285498311</v>
      </c>
      <c r="F72" s="5">
        <v>36.233333333333327</v>
      </c>
      <c r="G72" s="5">
        <f t="shared" si="19"/>
        <v>4323.0210539553764</v>
      </c>
      <c r="H72" s="6">
        <f t="shared" si="14"/>
        <v>1467.7859573401538</v>
      </c>
      <c r="I72" s="5">
        <v>147.22076913354351</v>
      </c>
      <c r="J72" s="5">
        <v>135.20418946129334</v>
      </c>
      <c r="K72" s="5">
        <v>75.425184485653304</v>
      </c>
      <c r="L72" s="6">
        <f t="shared" si="15"/>
        <v>10.030125196205679</v>
      </c>
      <c r="M72" s="6">
        <f t="shared" si="16"/>
        <v>9.2114377294018688</v>
      </c>
      <c r="N72" s="6">
        <f t="shared" si="17"/>
        <v>5.1387045984780331</v>
      </c>
      <c r="O72" s="5">
        <v>7572.1012624822542</v>
      </c>
      <c r="P72" s="5">
        <v>4569.6174343063203</v>
      </c>
      <c r="Q72" s="5">
        <v>424.9627509569151</v>
      </c>
      <c r="R72" s="5">
        <v>18736.573551543901</v>
      </c>
      <c r="S72" s="5">
        <v>4772.4210700914537</v>
      </c>
      <c r="T72" s="5">
        <v>7279.5749761809466</v>
      </c>
      <c r="U72" s="5">
        <v>6147.2413796487954</v>
      </c>
      <c r="V72" s="5">
        <v>6223.2701168676113</v>
      </c>
      <c r="W72" s="5">
        <v>3907.3489310745413</v>
      </c>
      <c r="X72" s="5">
        <v>11677.025543693342</v>
      </c>
      <c r="Y72" s="5">
        <f t="shared" si="20"/>
        <v>71310.137016846085</v>
      </c>
      <c r="Z72" s="5">
        <f t="shared" si="21"/>
        <v>45.53067639261694</v>
      </c>
      <c r="AA72" s="5">
        <v>156619.98166231817</v>
      </c>
      <c r="AB72" s="5">
        <v>12723.071942152794</v>
      </c>
      <c r="AC72" s="5">
        <v>9275.1797809881009</v>
      </c>
      <c r="AD72" s="5">
        <v>1193.0730154146022</v>
      </c>
      <c r="AE72" s="5">
        <v>683.02001845455538</v>
      </c>
      <c r="AF72" s="5">
        <v>7750.9378986133106</v>
      </c>
      <c r="AG72" s="5">
        <v>21916.337023072756</v>
      </c>
      <c r="AH72" s="5">
        <v>6881.420448540086</v>
      </c>
      <c r="AI72" s="5">
        <f t="shared" si="22"/>
        <v>60423.040127236192</v>
      </c>
      <c r="AJ72" s="20">
        <f t="shared" si="23"/>
        <v>38.579394203679449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</row>
    <row r="73" spans="2:59" x14ac:dyDescent="0.3">
      <c r="B73" s="6">
        <v>2023</v>
      </c>
      <c r="C73" s="5" t="s">
        <v>33</v>
      </c>
      <c r="D73">
        <v>296.32333333333332</v>
      </c>
      <c r="E73" s="5">
        <v>164937.1095470773</v>
      </c>
      <c r="F73" s="5">
        <v>36.316666666666663</v>
      </c>
      <c r="G73" s="5">
        <f t="shared" si="19"/>
        <v>4541.6367934027712</v>
      </c>
      <c r="H73" s="6">
        <f t="shared" si="14"/>
        <v>1532.6625623146242</v>
      </c>
      <c r="I73" s="5">
        <v>151.64811404808472</v>
      </c>
      <c r="J73" s="5">
        <v>137.06805963451009</v>
      </c>
      <c r="K73" s="5">
        <v>61.53260443045118</v>
      </c>
      <c r="L73" s="6">
        <f t="shared" si="15"/>
        <v>9.8944228023072487</v>
      </c>
      <c r="M73" s="6">
        <f t="shared" si="16"/>
        <v>8.9431335379856964</v>
      </c>
      <c r="N73" s="6">
        <f t="shared" si="17"/>
        <v>4.0147522320584876</v>
      </c>
      <c r="O73" s="5">
        <v>7672.3271293640082</v>
      </c>
      <c r="P73" s="5">
        <v>4183.7574126270993</v>
      </c>
      <c r="Q73" s="5">
        <v>419.12526393488855</v>
      </c>
      <c r="R73" s="5">
        <v>18893.781139072016</v>
      </c>
      <c r="S73" s="5">
        <v>5874.0140303462758</v>
      </c>
      <c r="T73" s="5">
        <v>7278.8934650613346</v>
      </c>
      <c r="U73" s="5">
        <v>6372.209232446442</v>
      </c>
      <c r="V73" s="5">
        <v>6283.8618816220214</v>
      </c>
      <c r="W73" s="5">
        <v>3820.7069260287285</v>
      </c>
      <c r="X73" s="5">
        <v>11191.078232306118</v>
      </c>
      <c r="Y73" s="5">
        <f t="shared" si="20"/>
        <v>71989.754712808935</v>
      </c>
      <c r="Z73" s="5">
        <f t="shared" si="21"/>
        <v>43.64502671028837</v>
      </c>
      <c r="AA73" s="5">
        <v>164943.77513083044</v>
      </c>
      <c r="AB73" s="5">
        <v>14431.8176784566</v>
      </c>
      <c r="AC73" s="5">
        <v>10101.053550978808</v>
      </c>
      <c r="AD73" s="5">
        <v>1219.6991987369004</v>
      </c>
      <c r="AE73" s="5">
        <v>594.59780459009517</v>
      </c>
      <c r="AF73" s="5">
        <v>8331.8816249990905</v>
      </c>
      <c r="AG73" s="5">
        <v>24967.603227810487</v>
      </c>
      <c r="AH73" s="5">
        <v>7309.1592871527164</v>
      </c>
      <c r="AI73" s="5">
        <f t="shared" si="22"/>
        <v>66955.812372724686</v>
      </c>
      <c r="AJ73" s="20">
        <f t="shared" si="23"/>
        <v>40.593112604350509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</row>
    <row r="74" spans="2:59" x14ac:dyDescent="0.3">
      <c r="B74" s="6">
        <v>2023</v>
      </c>
      <c r="C74" s="5" t="s">
        <v>34</v>
      </c>
      <c r="D74">
        <v>299.02333333333337</v>
      </c>
      <c r="E74" s="5">
        <v>174687.4382800649</v>
      </c>
      <c r="F74" s="5">
        <v>36.4</v>
      </c>
      <c r="G74" s="5">
        <f t="shared" si="19"/>
        <v>4799.1054472545302</v>
      </c>
      <c r="H74" s="6">
        <f t="shared" si="14"/>
        <v>1604.9267439289674</v>
      </c>
      <c r="I74" s="5">
        <v>132.79158801029007</v>
      </c>
      <c r="J74" s="5">
        <v>136.72440190121571</v>
      </c>
      <c r="K74" s="5">
        <v>52.81532035496587</v>
      </c>
      <c r="L74" s="6">
        <f t="shared" si="15"/>
        <v>8.2739968358435743</v>
      </c>
      <c r="M74" s="6">
        <f t="shared" si="16"/>
        <v>8.5190431537395455</v>
      </c>
      <c r="N74" s="6">
        <f t="shared" si="17"/>
        <v>3.2908243665795269</v>
      </c>
      <c r="O74" s="5">
        <v>9296.2763687716724</v>
      </c>
      <c r="P74" s="5">
        <v>3916.9168965474005</v>
      </c>
      <c r="Q74" s="5">
        <v>426.54009303404541</v>
      </c>
      <c r="R74" s="5">
        <v>20522.917859480538</v>
      </c>
      <c r="S74" s="5">
        <v>7861.7850413123524</v>
      </c>
      <c r="T74" s="5">
        <v>7763.721396242383</v>
      </c>
      <c r="U74" s="5">
        <v>6943.6626895933832</v>
      </c>
      <c r="V74" s="5">
        <v>6862.2489736748075</v>
      </c>
      <c r="W74" s="5">
        <v>3970.0661965738568</v>
      </c>
      <c r="X74" s="5">
        <v>11801.317098158419</v>
      </c>
      <c r="Y74" s="5">
        <f t="shared" si="20"/>
        <v>79365.452613388858</v>
      </c>
      <c r="Z74" s="5">
        <f t="shared" si="21"/>
        <v>45.418083861587618</v>
      </c>
      <c r="AA74" s="5">
        <v>174744.16766514507</v>
      </c>
      <c r="AB74" s="5">
        <v>13986.979469188418</v>
      </c>
      <c r="AC74" s="5">
        <v>10454.779616262707</v>
      </c>
      <c r="AD74" s="5">
        <v>1280.5928349191749</v>
      </c>
      <c r="AE74" s="5">
        <v>750.93586047788779</v>
      </c>
      <c r="AF74" s="5">
        <v>9530.1327729192872</v>
      </c>
      <c r="AG74" s="5">
        <v>22991.264174898071</v>
      </c>
      <c r="AH74" s="5">
        <v>7626.7831967805196</v>
      </c>
      <c r="AI74" s="5">
        <f t="shared" si="22"/>
        <v>66621.467925446064</v>
      </c>
      <c r="AJ74" s="20">
        <f t="shared" si="23"/>
        <v>38.125145357131458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 spans="2:59" x14ac:dyDescent="0.3">
      <c r="F75" s="6"/>
      <c r="G75" s="6"/>
      <c r="H75" s="6"/>
      <c r="L75" s="6"/>
      <c r="M75" s="6"/>
      <c r="O75" s="5"/>
      <c r="P75" s="5"/>
      <c r="R75" s="5"/>
      <c r="S75" s="5"/>
      <c r="T75" s="5"/>
      <c r="U75" s="5"/>
      <c r="V75" s="5"/>
      <c r="W75" s="5"/>
      <c r="X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</row>
    <row r="76" spans="2:59" x14ac:dyDescent="0.3">
      <c r="F76" s="6"/>
      <c r="G76" s="6"/>
      <c r="H76" s="6"/>
      <c r="L76" s="6"/>
      <c r="M76" s="6"/>
      <c r="O76" s="5"/>
      <c r="P76" s="5"/>
      <c r="R76" s="5"/>
      <c r="S76" s="5"/>
      <c r="T76" s="5"/>
      <c r="U76" s="5"/>
      <c r="V76" s="5"/>
      <c r="W76" s="5"/>
      <c r="X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</row>
    <row r="77" spans="2:59" x14ac:dyDescent="0.3">
      <c r="E77" s="5"/>
      <c r="F77" s="6"/>
      <c r="G77" s="6"/>
      <c r="H77" s="6"/>
      <c r="L77" s="6"/>
      <c r="M77" s="6"/>
      <c r="O77" s="5"/>
      <c r="P77" s="5"/>
      <c r="R77" s="5"/>
      <c r="S77" s="5"/>
      <c r="T77" s="5"/>
      <c r="U77" s="5"/>
      <c r="V77" s="5"/>
      <c r="W77" s="5"/>
      <c r="X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</row>
    <row r="78" spans="2:59" x14ac:dyDescent="0.3">
      <c r="F78" s="6"/>
      <c r="G78" s="6"/>
      <c r="H78" s="6"/>
      <c r="L78" s="6"/>
      <c r="M78" s="6"/>
      <c r="O78" s="5"/>
      <c r="P78" s="5"/>
      <c r="R78" s="5"/>
      <c r="S78" s="5"/>
      <c r="T78" s="5"/>
      <c r="U78" s="5"/>
      <c r="V78" s="5"/>
      <c r="W78" s="5"/>
      <c r="X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</row>
    <row r="79" spans="2:59" x14ac:dyDescent="0.3">
      <c r="F79" s="6"/>
      <c r="G79" s="6"/>
      <c r="H79" s="6"/>
      <c r="L79" s="6"/>
      <c r="M79" s="6"/>
      <c r="O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</row>
    <row r="80" spans="2:59" x14ac:dyDescent="0.3">
      <c r="F80" s="6"/>
      <c r="G80" s="6"/>
      <c r="H80" s="6"/>
      <c r="L80" s="6"/>
      <c r="M80" s="6"/>
      <c r="O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</row>
    <row r="81" spans="5:59" x14ac:dyDescent="0.3">
      <c r="F81" s="6"/>
      <c r="G81" s="6"/>
      <c r="H81" s="6"/>
      <c r="L81" s="6"/>
      <c r="M81" s="6"/>
      <c r="O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</row>
    <row r="82" spans="5:59" x14ac:dyDescent="0.3">
      <c r="E82" s="5"/>
      <c r="F82" s="6"/>
      <c r="G82" s="6"/>
      <c r="H82" s="6"/>
      <c r="L82" s="6"/>
      <c r="M82" s="6"/>
      <c r="O82" s="5"/>
    </row>
    <row r="83" spans="5:59" x14ac:dyDescent="0.3">
      <c r="F83" s="6"/>
      <c r="G83" s="6"/>
      <c r="H83" s="6"/>
      <c r="L83" s="6"/>
      <c r="M83" s="6"/>
      <c r="O83" s="5"/>
    </row>
    <row r="84" spans="5:59" x14ac:dyDescent="0.3">
      <c r="F84" s="6"/>
      <c r="G84" s="6"/>
      <c r="H84" s="6"/>
      <c r="L84" s="6"/>
      <c r="M84" s="6"/>
      <c r="O84" s="5"/>
    </row>
    <row r="85" spans="5:59" x14ac:dyDescent="0.3">
      <c r="F85" s="6"/>
      <c r="G85" s="6"/>
      <c r="H85" s="6"/>
      <c r="L85" s="6"/>
      <c r="M85" s="6"/>
      <c r="O85" s="5"/>
    </row>
    <row r="86" spans="5:59" x14ac:dyDescent="0.3">
      <c r="F86" s="6"/>
      <c r="G86" s="6"/>
      <c r="H86" s="6"/>
      <c r="L86" s="6"/>
      <c r="M86" s="6"/>
      <c r="O86" s="5"/>
    </row>
    <row r="87" spans="5:59" x14ac:dyDescent="0.3">
      <c r="E87" s="5"/>
      <c r="F87" s="6"/>
      <c r="G87" s="6"/>
      <c r="H87" s="6"/>
      <c r="L87" s="6"/>
      <c r="M87" s="6"/>
      <c r="O87" s="5"/>
    </row>
    <row r="88" spans="5:59" x14ac:dyDescent="0.3">
      <c r="F88" s="6"/>
      <c r="G88" s="6"/>
      <c r="H88" s="6"/>
      <c r="L88" s="6"/>
      <c r="M88" s="6"/>
      <c r="O88" s="5"/>
    </row>
    <row r="89" spans="5:59" x14ac:dyDescent="0.3">
      <c r="F89" s="6"/>
      <c r="G89" s="6"/>
      <c r="H89" s="6"/>
      <c r="L89" s="6"/>
      <c r="M89" s="6"/>
      <c r="O89" s="5"/>
    </row>
    <row r="90" spans="5:59" x14ac:dyDescent="0.3">
      <c r="F90" s="6"/>
      <c r="G90" s="6"/>
      <c r="H90" s="6"/>
      <c r="L90" s="6"/>
      <c r="M90" s="6"/>
      <c r="O90" s="5"/>
    </row>
    <row r="91" spans="5:59" x14ac:dyDescent="0.3">
      <c r="F91" s="6"/>
      <c r="G91" s="6"/>
      <c r="H91" s="6"/>
      <c r="L91" s="6"/>
      <c r="M91" s="6"/>
      <c r="O91" s="5"/>
    </row>
    <row r="92" spans="5:59" x14ac:dyDescent="0.3">
      <c r="F92" s="6"/>
      <c r="G92" s="6"/>
      <c r="H92" s="6"/>
      <c r="L92" s="6"/>
      <c r="M92" s="6"/>
    </row>
    <row r="93" spans="5:59" x14ac:dyDescent="0.3">
      <c r="F93" s="6"/>
      <c r="G93" s="6"/>
      <c r="H93" s="6"/>
      <c r="L93" s="6"/>
      <c r="M93" s="6"/>
    </row>
    <row r="94" spans="5:59" x14ac:dyDescent="0.3">
      <c r="F94" s="6"/>
      <c r="G94" s="6"/>
      <c r="H94" s="6"/>
      <c r="L94" s="6"/>
      <c r="M94" s="6"/>
    </row>
    <row r="95" spans="5:59" x14ac:dyDescent="0.3">
      <c r="F95" s="6"/>
      <c r="G95" s="6"/>
      <c r="H95" s="6"/>
      <c r="L95" s="6"/>
      <c r="M95" s="6"/>
    </row>
    <row r="96" spans="5:59" x14ac:dyDescent="0.3">
      <c r="F96" s="6"/>
      <c r="G96" s="6"/>
      <c r="H96" s="6"/>
      <c r="L96" s="6"/>
      <c r="M96" s="6"/>
    </row>
    <row r="97" spans="6:13" x14ac:dyDescent="0.3">
      <c r="F97" s="6"/>
      <c r="G97" s="6"/>
      <c r="H97" s="6"/>
      <c r="L97" s="6"/>
      <c r="M97" s="6"/>
    </row>
    <row r="98" spans="6:13" x14ac:dyDescent="0.3">
      <c r="F98" s="6"/>
      <c r="G98" s="6"/>
      <c r="H98" s="6"/>
      <c r="L98" s="6"/>
      <c r="M98" s="6"/>
    </row>
    <row r="99" spans="6:13" x14ac:dyDescent="0.3">
      <c r="F99" s="6"/>
      <c r="G99" s="6"/>
      <c r="H99" s="6"/>
      <c r="L99" s="6"/>
      <c r="M99" s="6"/>
    </row>
    <row r="100" spans="6:13" x14ac:dyDescent="0.3">
      <c r="F100" s="6"/>
      <c r="G100" s="6"/>
      <c r="H100" s="6"/>
      <c r="L100" s="6"/>
      <c r="M100" s="6"/>
    </row>
    <row r="101" spans="6:13" x14ac:dyDescent="0.3">
      <c r="F101" s="6"/>
      <c r="G101" s="6"/>
      <c r="H101" s="6"/>
      <c r="L101" s="6"/>
      <c r="M101" s="6"/>
    </row>
    <row r="102" spans="6:13" x14ac:dyDescent="0.3">
      <c r="F102" s="6"/>
      <c r="G102" s="6"/>
      <c r="H102" s="6"/>
      <c r="L102" s="6"/>
      <c r="M102" s="6"/>
    </row>
    <row r="103" spans="6:13" x14ac:dyDescent="0.3">
      <c r="F103" s="6"/>
      <c r="G103" s="6"/>
      <c r="H103" s="6"/>
      <c r="L103" s="6"/>
      <c r="M103" s="6"/>
    </row>
    <row r="104" spans="6:13" x14ac:dyDescent="0.3">
      <c r="F104" s="6"/>
      <c r="G104" s="6"/>
      <c r="H104" s="6"/>
      <c r="L104" s="6"/>
      <c r="M104" s="6"/>
    </row>
    <row r="105" spans="6:13" x14ac:dyDescent="0.3">
      <c r="F105" s="6"/>
      <c r="G105" s="6"/>
      <c r="H105" s="6"/>
      <c r="L105" s="6"/>
      <c r="M105" s="6"/>
    </row>
    <row r="106" spans="6:13" x14ac:dyDescent="0.3">
      <c r="F106" s="6"/>
      <c r="G106" s="6"/>
      <c r="H106" s="6"/>
      <c r="L106" s="6"/>
      <c r="M106" s="6"/>
    </row>
    <row r="107" spans="6:13" x14ac:dyDescent="0.3">
      <c r="F107" s="6"/>
      <c r="G107" s="6"/>
      <c r="H107" s="6"/>
      <c r="L107" s="6"/>
      <c r="M107" s="6"/>
    </row>
    <row r="108" spans="6:13" x14ac:dyDescent="0.3">
      <c r="F108" s="6"/>
      <c r="G108" s="6"/>
      <c r="H108" s="6"/>
      <c r="L108" s="6"/>
      <c r="M108" s="6"/>
    </row>
    <row r="109" spans="6:13" x14ac:dyDescent="0.3">
      <c r="F109" s="6"/>
      <c r="G109" s="6"/>
      <c r="H109" s="6"/>
      <c r="L109" s="6"/>
      <c r="M109" s="6"/>
    </row>
    <row r="110" spans="6:13" x14ac:dyDescent="0.3">
      <c r="F110" s="6"/>
      <c r="G110" s="6"/>
      <c r="H110" s="6"/>
      <c r="L110" s="6"/>
      <c r="M110" s="6"/>
    </row>
    <row r="111" spans="6:13" x14ac:dyDescent="0.3">
      <c r="F111" s="6"/>
      <c r="G111" s="6"/>
      <c r="H111" s="6"/>
      <c r="L111" s="6"/>
      <c r="M111" s="6"/>
    </row>
    <row r="112" spans="6:13" x14ac:dyDescent="0.3">
      <c r="F112" s="6"/>
      <c r="G112" s="6"/>
      <c r="H112" s="6"/>
      <c r="L112" s="6"/>
      <c r="M112" s="6"/>
    </row>
    <row r="113" spans="6:13" x14ac:dyDescent="0.3">
      <c r="F113" s="6"/>
      <c r="G113" s="6"/>
      <c r="H113" s="6"/>
      <c r="L113" s="6"/>
      <c r="M113" s="6"/>
    </row>
    <row r="114" spans="6:13" x14ac:dyDescent="0.3">
      <c r="F114" s="6"/>
      <c r="G114" s="6"/>
      <c r="H114" s="6"/>
      <c r="L114" s="6"/>
      <c r="M114" s="6"/>
    </row>
    <row r="115" spans="6:13" x14ac:dyDescent="0.3">
      <c r="F115" s="6"/>
      <c r="G115" s="6"/>
      <c r="H115" s="6"/>
      <c r="L115" s="6"/>
      <c r="M115" s="6"/>
    </row>
    <row r="116" spans="6:13" x14ac:dyDescent="0.3">
      <c r="F116" s="6"/>
      <c r="G116" s="6"/>
      <c r="H116" s="6"/>
      <c r="L116" s="6"/>
      <c r="M116" s="6"/>
    </row>
    <row r="117" spans="6:13" x14ac:dyDescent="0.3">
      <c r="F117" s="6"/>
      <c r="G117" s="6"/>
      <c r="H117" s="6"/>
      <c r="L117" s="6"/>
      <c r="M117" s="6"/>
    </row>
    <row r="118" spans="6:13" x14ac:dyDescent="0.3">
      <c r="F118" s="6"/>
      <c r="G118" s="6"/>
      <c r="H118" s="6"/>
      <c r="L118" s="6"/>
      <c r="M118" s="6"/>
    </row>
    <row r="119" spans="6:13" x14ac:dyDescent="0.3">
      <c r="F119" s="6"/>
      <c r="G119" s="6"/>
      <c r="H119" s="6"/>
      <c r="L119" s="6"/>
      <c r="M119" s="6"/>
    </row>
    <row r="120" spans="6:13" x14ac:dyDescent="0.3">
      <c r="F120" s="6"/>
      <c r="G120" s="6"/>
      <c r="H120" s="6"/>
      <c r="L120" s="6"/>
      <c r="M120" s="6"/>
    </row>
    <row r="121" spans="6:13" x14ac:dyDescent="0.3">
      <c r="F121" s="6"/>
      <c r="G121" s="6"/>
      <c r="H121" s="6"/>
      <c r="L121" s="6"/>
      <c r="M121" s="6"/>
    </row>
    <row r="122" spans="6:13" x14ac:dyDescent="0.3">
      <c r="F122" s="6"/>
      <c r="G122" s="6"/>
      <c r="H122" s="6"/>
      <c r="L122" s="6"/>
      <c r="M122" s="6"/>
    </row>
    <row r="123" spans="6:13" x14ac:dyDescent="0.3">
      <c r="F123" s="6"/>
      <c r="G123" s="6"/>
      <c r="H123" s="6"/>
      <c r="L123" s="6"/>
      <c r="M123" s="6"/>
    </row>
    <row r="124" spans="6:13" x14ac:dyDescent="0.3">
      <c r="F124" s="6"/>
      <c r="G124" s="6"/>
      <c r="H124" s="6"/>
      <c r="L124" s="6"/>
      <c r="M124" s="6"/>
    </row>
    <row r="125" spans="6:13" x14ac:dyDescent="0.3">
      <c r="F125" s="6"/>
      <c r="G125" s="6"/>
      <c r="H125" s="6"/>
      <c r="L125" s="6"/>
      <c r="M125" s="6"/>
    </row>
    <row r="126" spans="6:13" x14ac:dyDescent="0.3">
      <c r="F126" s="6"/>
      <c r="G126" s="6"/>
      <c r="H126" s="6"/>
      <c r="L126" s="6"/>
      <c r="M126" s="6"/>
    </row>
    <row r="127" spans="6:13" x14ac:dyDescent="0.3">
      <c r="F127" s="6"/>
      <c r="G127" s="6"/>
      <c r="H127" s="6"/>
      <c r="L127" s="6"/>
      <c r="M127" s="6"/>
    </row>
    <row r="128" spans="6:13" x14ac:dyDescent="0.3">
      <c r="F128" s="6"/>
      <c r="G128" s="6"/>
      <c r="H128" s="6"/>
      <c r="L128" s="6"/>
      <c r="M128" s="6"/>
    </row>
    <row r="129" spans="6:13" x14ac:dyDescent="0.3">
      <c r="F129" s="6"/>
      <c r="G129" s="6"/>
      <c r="H129" s="6"/>
      <c r="L129" s="6"/>
      <c r="M129" s="6"/>
    </row>
    <row r="130" spans="6:13" x14ac:dyDescent="0.3">
      <c r="F130" s="6"/>
      <c r="G130" s="6"/>
      <c r="H130" s="6"/>
      <c r="L130" s="6"/>
      <c r="M130" s="6"/>
    </row>
    <row r="131" spans="6:13" x14ac:dyDescent="0.3">
      <c r="F131" s="6"/>
      <c r="G131" s="6"/>
      <c r="H131" s="6"/>
      <c r="L131" s="6"/>
      <c r="M131" s="6"/>
    </row>
    <row r="132" spans="6:13" x14ac:dyDescent="0.3">
      <c r="F132" s="6"/>
      <c r="G132" s="6"/>
      <c r="H132" s="6"/>
      <c r="L132" s="6"/>
      <c r="M132" s="6"/>
    </row>
    <row r="133" spans="6:13" x14ac:dyDescent="0.3">
      <c r="F133" s="6"/>
      <c r="G133" s="6"/>
      <c r="H133" s="6"/>
      <c r="L133" s="6"/>
      <c r="M133" s="6"/>
    </row>
    <row r="134" spans="6:13" x14ac:dyDescent="0.3">
      <c r="F134" s="6"/>
      <c r="G134" s="6"/>
      <c r="H134" s="6"/>
      <c r="L134" s="6"/>
      <c r="M134" s="6"/>
    </row>
    <row r="135" spans="6:13" x14ac:dyDescent="0.3">
      <c r="F135" s="6"/>
      <c r="G135" s="6"/>
      <c r="H135" s="6"/>
      <c r="L135" s="6"/>
      <c r="M135" s="6"/>
    </row>
    <row r="136" spans="6:13" x14ac:dyDescent="0.3">
      <c r="F136" s="6"/>
      <c r="G136" s="6"/>
      <c r="H136" s="6"/>
      <c r="L136" s="6"/>
      <c r="M136" s="6"/>
    </row>
    <row r="137" spans="6:13" x14ac:dyDescent="0.3">
      <c r="F137" s="6"/>
      <c r="G137" s="6"/>
      <c r="H137" s="6"/>
      <c r="L137" s="6"/>
      <c r="M137" s="6"/>
    </row>
    <row r="138" spans="6:13" x14ac:dyDescent="0.3">
      <c r="F138" s="6"/>
      <c r="G138" s="6"/>
      <c r="H138" s="6"/>
      <c r="L138" s="6"/>
      <c r="M138" s="6"/>
    </row>
    <row r="139" spans="6:13" x14ac:dyDescent="0.3">
      <c r="F139" s="6"/>
      <c r="G139" s="6"/>
      <c r="H139" s="6"/>
      <c r="L139" s="6"/>
      <c r="M139" s="6"/>
    </row>
    <row r="140" spans="6:13" x14ac:dyDescent="0.3">
      <c r="F140" s="6"/>
      <c r="G140" s="6"/>
      <c r="H140" s="6"/>
      <c r="L140" s="6"/>
      <c r="M140" s="6"/>
    </row>
    <row r="141" spans="6:13" x14ac:dyDescent="0.3">
      <c r="F141" s="6"/>
      <c r="G141" s="6"/>
      <c r="H141" s="6"/>
      <c r="L141" s="6"/>
      <c r="M141" s="6"/>
    </row>
    <row r="142" spans="6:13" x14ac:dyDescent="0.3">
      <c r="F142" s="6"/>
      <c r="G142" s="6"/>
      <c r="H142" s="6"/>
      <c r="L142" s="6"/>
      <c r="M142" s="6"/>
    </row>
    <row r="143" spans="6:13" x14ac:dyDescent="0.3">
      <c r="F143" s="6"/>
      <c r="G143" s="6"/>
      <c r="H143" s="6"/>
      <c r="L143" s="6"/>
      <c r="M143" s="6"/>
    </row>
    <row r="144" spans="6:13" x14ac:dyDescent="0.3">
      <c r="F144" s="6"/>
      <c r="G144" s="6"/>
      <c r="H144" s="6"/>
      <c r="L144" s="6"/>
      <c r="M144" s="6"/>
    </row>
    <row r="145" spans="6:13" x14ac:dyDescent="0.3">
      <c r="F145" s="6"/>
      <c r="G145" s="6"/>
      <c r="H145" s="6"/>
      <c r="L145" s="6"/>
      <c r="M145" s="6"/>
    </row>
    <row r="146" spans="6:13" x14ac:dyDescent="0.3">
      <c r="F146" s="6"/>
      <c r="G146" s="6"/>
      <c r="H146" s="6"/>
      <c r="L146" s="6"/>
      <c r="M146" s="6"/>
    </row>
    <row r="147" spans="6:13" x14ac:dyDescent="0.3">
      <c r="L147" s="6"/>
      <c r="M147" s="6"/>
    </row>
    <row r="148" spans="6:13" x14ac:dyDescent="0.3">
      <c r="L148" s="6"/>
      <c r="M148" s="6"/>
    </row>
    <row r="149" spans="6:13" x14ac:dyDescent="0.3">
      <c r="L149" s="6"/>
      <c r="M149" s="6"/>
    </row>
    <row r="150" spans="6:13" x14ac:dyDescent="0.3">
      <c r="L150" s="6"/>
      <c r="M150" s="6"/>
    </row>
    <row r="151" spans="6:13" x14ac:dyDescent="0.3">
      <c r="L151" s="6"/>
      <c r="M151" s="6"/>
    </row>
    <row r="152" spans="6:13" x14ac:dyDescent="0.3">
      <c r="L152" s="6"/>
      <c r="M152" s="6"/>
    </row>
    <row r="153" spans="6:13" x14ac:dyDescent="0.3">
      <c r="L153" s="6"/>
      <c r="M153" s="6"/>
    </row>
    <row r="154" spans="6:13" x14ac:dyDescent="0.3">
      <c r="L154" s="6"/>
      <c r="M154" s="6"/>
    </row>
    <row r="155" spans="6:13" x14ac:dyDescent="0.3">
      <c r="L155" s="6"/>
      <c r="M155" s="6"/>
    </row>
    <row r="156" spans="6:13" x14ac:dyDescent="0.3">
      <c r="L156" s="6"/>
      <c r="M156" s="6"/>
    </row>
    <row r="157" spans="6:13" x14ac:dyDescent="0.3">
      <c r="L157" s="6"/>
      <c r="M157" s="6"/>
    </row>
    <row r="158" spans="6:13" x14ac:dyDescent="0.3">
      <c r="L158" s="6"/>
      <c r="M158" s="6"/>
    </row>
    <row r="159" spans="6:13" x14ac:dyDescent="0.3">
      <c r="L159" s="6"/>
      <c r="M159" s="6"/>
    </row>
    <row r="160" spans="6:13" x14ac:dyDescent="0.3">
      <c r="L160" s="6"/>
      <c r="M160" s="6"/>
    </row>
    <row r="161" spans="12:13" x14ac:dyDescent="0.3">
      <c r="L161" s="6"/>
      <c r="M161" s="6"/>
    </row>
    <row r="162" spans="12:13" x14ac:dyDescent="0.3">
      <c r="L162" s="6"/>
      <c r="M162" s="6"/>
    </row>
    <row r="163" spans="12:13" x14ac:dyDescent="0.3">
      <c r="L163" s="6"/>
      <c r="M163" s="6"/>
    </row>
    <row r="164" spans="12:13" x14ac:dyDescent="0.3">
      <c r="L164" s="6"/>
      <c r="M164" s="6"/>
    </row>
    <row r="165" spans="12:13" x14ac:dyDescent="0.3">
      <c r="L165" s="6"/>
      <c r="M165" s="6"/>
    </row>
    <row r="166" spans="12:13" x14ac:dyDescent="0.3">
      <c r="L166" s="6"/>
      <c r="M166" s="6"/>
    </row>
    <row r="167" spans="12:13" x14ac:dyDescent="0.3">
      <c r="L167" s="6"/>
      <c r="M167" s="6"/>
    </row>
    <row r="168" spans="12:13" x14ac:dyDescent="0.3">
      <c r="L168" s="6"/>
      <c r="M168" s="6"/>
    </row>
    <row r="169" spans="12:13" x14ac:dyDescent="0.3">
      <c r="L169" s="6"/>
      <c r="M169" s="6"/>
    </row>
    <row r="170" spans="12:13" x14ac:dyDescent="0.3">
      <c r="L170" s="6"/>
      <c r="M170" s="6"/>
    </row>
    <row r="171" spans="12:13" x14ac:dyDescent="0.3">
      <c r="L171" s="6"/>
      <c r="M171" s="6"/>
    </row>
    <row r="172" spans="12:13" x14ac:dyDescent="0.3">
      <c r="L172" s="6"/>
      <c r="M172" s="6"/>
    </row>
    <row r="173" spans="12:13" x14ac:dyDescent="0.3">
      <c r="L173" s="6"/>
      <c r="M173" s="6"/>
    </row>
    <row r="174" spans="12:13" x14ac:dyDescent="0.3">
      <c r="L174" s="6"/>
      <c r="M174" s="6"/>
    </row>
    <row r="175" spans="12:13" x14ac:dyDescent="0.3">
      <c r="L175" s="6"/>
      <c r="M175" s="6"/>
    </row>
    <row r="176" spans="12:13" x14ac:dyDescent="0.3">
      <c r="L176" s="6"/>
      <c r="M176" s="6"/>
    </row>
    <row r="177" spans="12:13" x14ac:dyDescent="0.3">
      <c r="L177" s="6"/>
      <c r="M177" s="6"/>
    </row>
    <row r="178" spans="12:13" x14ac:dyDescent="0.3">
      <c r="L178" s="6"/>
      <c r="M178" s="6"/>
    </row>
    <row r="179" spans="12:13" x14ac:dyDescent="0.3">
      <c r="L179" s="6"/>
      <c r="M179" s="6"/>
    </row>
    <row r="180" spans="12:13" x14ac:dyDescent="0.3">
      <c r="L180" s="6"/>
      <c r="M180" s="6"/>
    </row>
    <row r="181" spans="12:13" x14ac:dyDescent="0.3">
      <c r="L181" s="6"/>
      <c r="M181" s="6"/>
    </row>
    <row r="182" spans="12:13" x14ac:dyDescent="0.3">
      <c r="L182" s="6"/>
      <c r="M182" s="6"/>
    </row>
    <row r="183" spans="12:13" x14ac:dyDescent="0.3">
      <c r="L183" s="6"/>
      <c r="M183" s="6"/>
    </row>
    <row r="184" spans="12:13" x14ac:dyDescent="0.3">
      <c r="L184" s="6"/>
      <c r="M184" s="6"/>
    </row>
    <row r="185" spans="12:13" x14ac:dyDescent="0.3">
      <c r="L185" s="6"/>
      <c r="M185" s="6"/>
    </row>
    <row r="186" spans="12:13" x14ac:dyDescent="0.3">
      <c r="L186" s="6"/>
      <c r="M186" s="6"/>
    </row>
    <row r="187" spans="12:13" x14ac:dyDescent="0.3">
      <c r="L187" s="6"/>
      <c r="M187" s="6"/>
    </row>
    <row r="188" spans="12:13" x14ac:dyDescent="0.3">
      <c r="L188" s="6"/>
      <c r="M188" s="6"/>
    </row>
    <row r="189" spans="12:13" x14ac:dyDescent="0.3">
      <c r="L189" s="6"/>
      <c r="M189" s="6"/>
    </row>
    <row r="190" spans="12:13" x14ac:dyDescent="0.3">
      <c r="L190" s="6"/>
      <c r="M190" s="6"/>
    </row>
    <row r="191" spans="12:13" x14ac:dyDescent="0.3">
      <c r="L191" s="6"/>
      <c r="M191" s="6"/>
    </row>
    <row r="192" spans="12:13" x14ac:dyDescent="0.3">
      <c r="L192" s="6"/>
      <c r="M192" s="6"/>
    </row>
    <row r="193" spans="12:13" x14ac:dyDescent="0.3">
      <c r="L193" s="6"/>
      <c r="M193" s="6"/>
    </row>
    <row r="194" spans="12:13" x14ac:dyDescent="0.3">
      <c r="L194" s="6"/>
      <c r="M194" s="6"/>
    </row>
    <row r="195" spans="12:13" x14ac:dyDescent="0.3">
      <c r="L195" s="6"/>
      <c r="M195" s="6"/>
    </row>
    <row r="196" spans="12:13" x14ac:dyDescent="0.3">
      <c r="L196" s="6"/>
      <c r="M196" s="6"/>
    </row>
    <row r="197" spans="12:13" x14ac:dyDescent="0.3">
      <c r="L197" s="6"/>
      <c r="M197" s="6"/>
    </row>
    <row r="198" spans="12:13" x14ac:dyDescent="0.3">
      <c r="L198" s="6"/>
      <c r="M198" s="6"/>
    </row>
    <row r="199" spans="12:13" x14ac:dyDescent="0.3">
      <c r="L199" s="6"/>
      <c r="M199" s="6"/>
    </row>
    <row r="200" spans="12:13" x14ac:dyDescent="0.3">
      <c r="L200" s="6"/>
      <c r="M200" s="6"/>
    </row>
    <row r="201" spans="12:13" x14ac:dyDescent="0.3">
      <c r="L201" s="6"/>
      <c r="M201" s="6"/>
    </row>
    <row r="202" spans="12:13" x14ac:dyDescent="0.3">
      <c r="L202" s="6"/>
      <c r="M202" s="6"/>
    </row>
    <row r="203" spans="12:13" x14ac:dyDescent="0.3">
      <c r="L203" s="6"/>
      <c r="M203" s="6"/>
    </row>
    <row r="204" spans="12:13" x14ac:dyDescent="0.3">
      <c r="L204" s="6"/>
      <c r="M204" s="6"/>
    </row>
    <row r="205" spans="12:13" x14ac:dyDescent="0.3">
      <c r="L205" s="6"/>
      <c r="M205" s="6"/>
    </row>
    <row r="206" spans="12:13" x14ac:dyDescent="0.3">
      <c r="L206" s="6"/>
      <c r="M206" s="6"/>
    </row>
    <row r="207" spans="12:13" x14ac:dyDescent="0.3">
      <c r="L207" s="6"/>
      <c r="M207" s="6"/>
    </row>
    <row r="208" spans="12:13" x14ac:dyDescent="0.3">
      <c r="L208" s="6"/>
      <c r="M208" s="6"/>
    </row>
    <row r="209" spans="12:13" x14ac:dyDescent="0.3">
      <c r="L209" s="6"/>
      <c r="M209" s="6"/>
    </row>
    <row r="210" spans="12:13" x14ac:dyDescent="0.3">
      <c r="L210" s="6"/>
      <c r="M210" s="6"/>
    </row>
    <row r="211" spans="12:13" x14ac:dyDescent="0.3">
      <c r="L211" s="6"/>
      <c r="M211" s="6"/>
    </row>
    <row r="212" spans="12:13" x14ac:dyDescent="0.3">
      <c r="L212" s="6"/>
      <c r="M212" s="6"/>
    </row>
    <row r="213" spans="12:13" x14ac:dyDescent="0.3">
      <c r="L213" s="6"/>
      <c r="M213" s="6"/>
    </row>
    <row r="214" spans="12:13" x14ac:dyDescent="0.3">
      <c r="L214" s="6"/>
      <c r="M214" s="6"/>
    </row>
    <row r="215" spans="12:13" x14ac:dyDescent="0.3">
      <c r="L215" s="6"/>
      <c r="M215" s="6"/>
    </row>
    <row r="216" spans="12:13" x14ac:dyDescent="0.3">
      <c r="L216" s="6"/>
      <c r="M216" s="6"/>
    </row>
    <row r="217" spans="12:13" x14ac:dyDescent="0.3">
      <c r="L217" s="6"/>
      <c r="M217" s="6"/>
    </row>
    <row r="218" spans="12:13" x14ac:dyDescent="0.3">
      <c r="L218" s="6"/>
      <c r="M218" s="6"/>
    </row>
  </sheetData>
  <hyperlinks>
    <hyperlink ref="F2" r:id="rId1" xr:uid="{27327998-9572-49FC-9762-81C565E52840}"/>
    <hyperlink ref="E2" r:id="rId2" xr:uid="{CF3CE3BA-0A0F-4267-9B4A-FDCE7F35C0F6}"/>
  </hyperlinks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FD94-ABA6-4B3C-A9F9-504A916FA407}">
  <dimension ref="B2:AC235"/>
  <sheetViews>
    <sheetView topLeftCell="K1" zoomScaleNormal="100" workbookViewId="0">
      <selection activeCell="V2" sqref="V2"/>
    </sheetView>
  </sheetViews>
  <sheetFormatPr baseColWidth="10" defaultRowHeight="14.4" x14ac:dyDescent="0.3"/>
  <cols>
    <col min="5" max="5" width="18.6640625" bestFit="1" customWidth="1"/>
    <col min="7" max="7" width="17.88671875" bestFit="1" customWidth="1"/>
    <col min="9" max="9" width="20.6640625" bestFit="1" customWidth="1"/>
    <col min="10" max="10" width="15.5546875" bestFit="1" customWidth="1"/>
    <col min="11" max="11" width="21.88671875" bestFit="1" customWidth="1"/>
    <col min="13" max="13" width="11.5546875" style="5"/>
    <col min="14" max="14" width="26.6640625" bestFit="1" customWidth="1"/>
    <col min="16" max="16" width="32.88671875" bestFit="1" customWidth="1"/>
    <col min="17" max="17" width="35.6640625" bestFit="1" customWidth="1"/>
    <col min="18" max="18" width="34" bestFit="1" customWidth="1"/>
    <col min="19" max="19" width="32.33203125" bestFit="1" customWidth="1"/>
    <col min="20" max="20" width="32.6640625" bestFit="1" customWidth="1"/>
    <col min="21" max="21" width="21.77734375" bestFit="1" customWidth="1"/>
    <col min="22" max="22" width="27.77734375" bestFit="1" customWidth="1"/>
    <col min="23" max="23" width="19.6640625" bestFit="1" customWidth="1"/>
    <col min="24" max="24" width="18.33203125" bestFit="1" customWidth="1"/>
    <col min="25" max="25" width="18.33203125" style="5" customWidth="1"/>
    <col min="26" max="26" width="32.88671875" bestFit="1" customWidth="1"/>
    <col min="27" max="27" width="16.21875" bestFit="1" customWidth="1"/>
    <col min="28" max="28" width="29.77734375" bestFit="1" customWidth="1"/>
    <col min="29" max="29" width="12" bestFit="1" customWidth="1"/>
  </cols>
  <sheetData>
    <row r="2" spans="2:29" x14ac:dyDescent="0.3">
      <c r="B2" t="s">
        <v>2</v>
      </c>
      <c r="C2" t="s">
        <v>1</v>
      </c>
      <c r="D2" t="s">
        <v>0</v>
      </c>
      <c r="E2" s="5" t="s">
        <v>5</v>
      </c>
      <c r="F2" t="s">
        <v>10</v>
      </c>
      <c r="G2" t="s">
        <v>11</v>
      </c>
      <c r="H2" t="s">
        <v>4</v>
      </c>
      <c r="I2" s="5" t="s">
        <v>13</v>
      </c>
      <c r="J2" s="5" t="s">
        <v>14</v>
      </c>
      <c r="K2" t="s">
        <v>15</v>
      </c>
      <c r="L2" t="s">
        <v>6</v>
      </c>
      <c r="M2" s="5" t="s">
        <v>30</v>
      </c>
      <c r="N2" t="s">
        <v>16</v>
      </c>
      <c r="O2" t="s">
        <v>7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s="12" t="s">
        <v>23</v>
      </c>
      <c r="W2" s="12" t="s">
        <v>24</v>
      </c>
      <c r="X2" s="12" t="s">
        <v>25</v>
      </c>
      <c r="Y2" s="12" t="s">
        <v>25</v>
      </c>
      <c r="Z2" s="12" t="s">
        <v>27</v>
      </c>
      <c r="AA2" s="12" t="s">
        <v>28</v>
      </c>
      <c r="AB2" s="12" t="s">
        <v>29</v>
      </c>
    </row>
    <row r="3" spans="2:29" s="9" customFormat="1" x14ac:dyDescent="0.3">
      <c r="B3" s="9">
        <v>2006</v>
      </c>
      <c r="C3" s="9">
        <v>1</v>
      </c>
      <c r="D3" s="9">
        <v>107.56</v>
      </c>
      <c r="E3" s="9">
        <f>AVERAGE(D3:D14)</f>
        <v>106.53666666666668</v>
      </c>
      <c r="F3" s="9">
        <f>100/E3</f>
        <v>0.93864397234129082</v>
      </c>
      <c r="G3" s="9">
        <f t="shared" ref="G3:G66" si="0">$F$3*D3</f>
        <v>100.96054566502924</v>
      </c>
      <c r="H3" s="10">
        <v>98.126999999999995</v>
      </c>
      <c r="I3" s="10">
        <f>AVERAGE(H3:H14)</f>
        <v>98.921074999999988</v>
      </c>
      <c r="J3" s="9">
        <f>100/I3</f>
        <v>1.0109069275682661</v>
      </c>
      <c r="K3" s="9">
        <f t="shared" ref="K3:K66" si="1">$J$3*H3</f>
        <v>99.197264081491241</v>
      </c>
      <c r="L3" s="9">
        <v>91.49</v>
      </c>
      <c r="M3" s="9">
        <f>AVERAGE(L3:L14)</f>
        <v>95.504166666666663</v>
      </c>
      <c r="N3" s="9">
        <v>57.8</v>
      </c>
      <c r="O3" s="9">
        <f>(N3/L3)*100</f>
        <v>63.176303421138925</v>
      </c>
      <c r="P3" s="9">
        <v>56473.599999999999</v>
      </c>
      <c r="Q3" s="9">
        <f t="shared" ref="Q3:Q66" si="2">P3/1000</f>
        <v>56.473599999999998</v>
      </c>
      <c r="R3" s="9">
        <v>30.80764705</v>
      </c>
      <c r="S3" s="9">
        <f t="shared" ref="S3:S66" si="3">Q3+R3</f>
        <v>87.28124704999999</v>
      </c>
      <c r="T3" s="9">
        <f t="shared" ref="T3:T66" si="4">(S3/L3)*100</f>
        <v>95.399767242321559</v>
      </c>
      <c r="U3" s="9">
        <v>42.599681230000002</v>
      </c>
      <c r="V3" s="13">
        <f t="shared" ref="V3:V66" si="5">(U3/L3)*100</f>
        <v>46.562117422669147</v>
      </c>
      <c r="W3" s="14">
        <v>6763672380.6115408</v>
      </c>
      <c r="X3" s="15">
        <f t="shared" ref="X3:X14" si="6">($W$3/$M$3)*100</f>
        <v>7082070465.2797432</v>
      </c>
      <c r="Y3" s="15">
        <f>X3/1000000</f>
        <v>7082.0704652797431</v>
      </c>
      <c r="Z3" s="16">
        <f t="shared" ref="Z3:Z66" si="7">(T3/Y3)*100</f>
        <v>1.3470604071228096</v>
      </c>
      <c r="AA3" s="16">
        <f t="shared" ref="AA3:AA66" si="8">(U3/Y3)*100</f>
        <v>0.60151450679356244</v>
      </c>
      <c r="AB3" s="16">
        <f t="shared" ref="AB3:AB66" si="9">(V3/Y3)*100</f>
        <v>0.65746475767139856</v>
      </c>
    </row>
    <row r="4" spans="2:29" x14ac:dyDescent="0.3">
      <c r="B4">
        <v>2006</v>
      </c>
      <c r="C4">
        <v>2</v>
      </c>
      <c r="D4">
        <v>106.65</v>
      </c>
      <c r="G4" s="5">
        <f t="shared" si="0"/>
        <v>100.10637965019868</v>
      </c>
      <c r="H4" s="7">
        <v>98.168700000000001</v>
      </c>
      <c r="K4" s="5">
        <f t="shared" si="1"/>
        <v>99.239418900370836</v>
      </c>
      <c r="L4">
        <v>92.8</v>
      </c>
      <c r="N4" s="5">
        <v>54.6</v>
      </c>
      <c r="O4" s="5">
        <f t="shared" ref="O4:O66" si="10">(N4/L4)*100</f>
        <v>58.836206896551722</v>
      </c>
      <c r="P4" s="5">
        <v>72312.100000000006</v>
      </c>
      <c r="Q4" s="5">
        <f t="shared" si="2"/>
        <v>72.312100000000001</v>
      </c>
      <c r="R4">
        <v>32.656717059999998</v>
      </c>
      <c r="S4" s="5">
        <f t="shared" si="3"/>
        <v>104.96881705999999</v>
      </c>
      <c r="T4" s="5">
        <f t="shared" si="4"/>
        <v>113.11294941810344</v>
      </c>
      <c r="U4">
        <v>47.530430139999993</v>
      </c>
      <c r="V4" s="12">
        <f t="shared" si="5"/>
        <v>51.218135926724131</v>
      </c>
      <c r="W4" s="12"/>
      <c r="X4" s="17">
        <f t="shared" si="6"/>
        <v>7082070465.2797432</v>
      </c>
      <c r="Y4" s="17">
        <f t="shared" ref="Y4:Y67" si="11">X4/1000000</f>
        <v>7082.0704652797431</v>
      </c>
      <c r="Z4" s="12">
        <f t="shared" si="7"/>
        <v>1.5971734533374975</v>
      </c>
      <c r="AA4" s="12">
        <f t="shared" si="8"/>
        <v>0.67113749253160715</v>
      </c>
      <c r="AB4" s="12">
        <f t="shared" si="9"/>
        <v>0.72320850488319743</v>
      </c>
    </row>
    <row r="5" spans="2:29" x14ac:dyDescent="0.3">
      <c r="B5">
        <v>2006</v>
      </c>
      <c r="C5">
        <v>3</v>
      </c>
      <c r="D5">
        <v>106.44</v>
      </c>
      <c r="G5" s="5">
        <f t="shared" si="0"/>
        <v>99.909264416006991</v>
      </c>
      <c r="H5" s="7">
        <v>98.391300000000001</v>
      </c>
      <c r="K5" s="5">
        <f t="shared" si="1"/>
        <v>99.464446782447538</v>
      </c>
      <c r="L5">
        <v>93.41</v>
      </c>
      <c r="N5" s="5">
        <v>61.2</v>
      </c>
      <c r="O5" s="5">
        <f t="shared" si="10"/>
        <v>65.517610534204053</v>
      </c>
      <c r="P5" s="5">
        <v>73755.7</v>
      </c>
      <c r="Q5" s="5">
        <f t="shared" si="2"/>
        <v>73.75569999999999</v>
      </c>
      <c r="R5">
        <v>47.425177570000002</v>
      </c>
      <c r="S5" s="5">
        <f t="shared" si="3"/>
        <v>121.18087756999999</v>
      </c>
      <c r="T5" s="5">
        <f t="shared" si="4"/>
        <v>129.73009053634513</v>
      </c>
      <c r="U5">
        <v>53.58850924</v>
      </c>
      <c r="V5" s="12">
        <f t="shared" si="5"/>
        <v>57.369135253184886</v>
      </c>
      <c r="W5" s="12"/>
      <c r="X5" s="17">
        <f t="shared" si="6"/>
        <v>7082070465.2797432</v>
      </c>
      <c r="Y5" s="17">
        <f t="shared" si="11"/>
        <v>7082.0704652797431</v>
      </c>
      <c r="Z5" s="12">
        <f t="shared" si="7"/>
        <v>1.8318102195163739</v>
      </c>
      <c r="AA5" s="12">
        <f t="shared" si="8"/>
        <v>0.75667856600298944</v>
      </c>
      <c r="AB5" s="12">
        <f t="shared" si="9"/>
        <v>0.8100616272379717</v>
      </c>
    </row>
    <row r="6" spans="2:29" x14ac:dyDescent="0.3">
      <c r="B6">
        <v>2006</v>
      </c>
      <c r="C6">
        <v>4</v>
      </c>
      <c r="D6">
        <v>105.83</v>
      </c>
      <c r="G6" s="5">
        <f t="shared" si="0"/>
        <v>99.336691592878807</v>
      </c>
      <c r="H6" s="7">
        <v>98.682599999999994</v>
      </c>
      <c r="K6" s="5">
        <f t="shared" si="1"/>
        <v>99.758923970448166</v>
      </c>
      <c r="L6">
        <v>94.73</v>
      </c>
      <c r="N6" s="5">
        <v>54.7</v>
      </c>
      <c r="O6" s="5">
        <f t="shared" si="10"/>
        <v>57.743059220943735</v>
      </c>
      <c r="P6" s="5">
        <v>61086.1</v>
      </c>
      <c r="Q6" s="5">
        <f t="shared" si="2"/>
        <v>61.086100000000002</v>
      </c>
      <c r="R6">
        <v>33.937168159999985</v>
      </c>
      <c r="S6" s="5">
        <f t="shared" si="3"/>
        <v>95.023268159999986</v>
      </c>
      <c r="T6" s="5">
        <f t="shared" si="4"/>
        <v>100.3095831943418</v>
      </c>
      <c r="U6">
        <v>51.596237030000005</v>
      </c>
      <c r="V6" s="12">
        <f t="shared" si="5"/>
        <v>54.466628343713722</v>
      </c>
      <c r="W6" s="12"/>
      <c r="X6" s="17">
        <f t="shared" si="6"/>
        <v>7082070465.2797432</v>
      </c>
      <c r="Y6" s="17">
        <f t="shared" si="11"/>
        <v>7082.0704652797431</v>
      </c>
      <c r="Z6" s="12">
        <f t="shared" si="7"/>
        <v>1.4163878160506209</v>
      </c>
      <c r="AA6" s="12">
        <f t="shared" si="8"/>
        <v>0.72854735466066767</v>
      </c>
      <c r="AB6" s="12">
        <f t="shared" si="9"/>
        <v>0.76907775220169716</v>
      </c>
      <c r="AC6" s="2"/>
    </row>
    <row r="7" spans="2:29" x14ac:dyDescent="0.3">
      <c r="B7">
        <v>2006</v>
      </c>
      <c r="C7">
        <v>5</v>
      </c>
      <c r="D7">
        <v>105.64</v>
      </c>
      <c r="G7" s="5">
        <f t="shared" si="0"/>
        <v>99.158349238133965</v>
      </c>
      <c r="H7" s="7">
        <v>98.707400000000007</v>
      </c>
      <c r="K7" s="5">
        <f t="shared" si="1"/>
        <v>99.783994462251869</v>
      </c>
      <c r="L7">
        <v>95.58</v>
      </c>
      <c r="N7" s="5">
        <v>60.2</v>
      </c>
      <c r="O7" s="5">
        <f t="shared" si="10"/>
        <v>62.983887842644904</v>
      </c>
      <c r="P7" s="5">
        <v>78284.399999999994</v>
      </c>
      <c r="Q7" s="5">
        <f t="shared" si="2"/>
        <v>78.284399999999991</v>
      </c>
      <c r="R7">
        <v>47.807987320000002</v>
      </c>
      <c r="S7" s="5">
        <f t="shared" si="3"/>
        <v>126.09238732</v>
      </c>
      <c r="T7" s="5">
        <f t="shared" si="4"/>
        <v>131.92340167399038</v>
      </c>
      <c r="U7">
        <v>56.207838680000002</v>
      </c>
      <c r="V7" s="12">
        <f t="shared" si="5"/>
        <v>58.807113078049802</v>
      </c>
      <c r="W7" s="12"/>
      <c r="X7" s="17">
        <f t="shared" si="6"/>
        <v>7082070465.2797432</v>
      </c>
      <c r="Y7" s="17">
        <f t="shared" si="11"/>
        <v>7082.0704652797431</v>
      </c>
      <c r="Z7" s="12">
        <f t="shared" si="7"/>
        <v>1.8627801335887921</v>
      </c>
      <c r="AA7" s="12">
        <f t="shared" si="8"/>
        <v>0.79366392858645163</v>
      </c>
      <c r="AB7" s="12">
        <f t="shared" si="9"/>
        <v>0.83036611067843857</v>
      </c>
    </row>
    <row r="8" spans="2:29" x14ac:dyDescent="0.3">
      <c r="B8">
        <v>2006</v>
      </c>
      <c r="C8">
        <v>6</v>
      </c>
      <c r="D8">
        <v>106.14</v>
      </c>
      <c r="G8" s="5">
        <f t="shared" si="0"/>
        <v>99.627671224304606</v>
      </c>
      <c r="H8" s="7">
        <v>99.0398</v>
      </c>
      <c r="K8" s="5">
        <f t="shared" si="1"/>
        <v>100.12001992497555</v>
      </c>
      <c r="L8">
        <v>95.91</v>
      </c>
      <c r="N8" s="5">
        <v>53.6</v>
      </c>
      <c r="O8" s="5">
        <f t="shared" si="10"/>
        <v>55.88572620164738</v>
      </c>
      <c r="P8" s="5">
        <v>79558.7</v>
      </c>
      <c r="Q8" s="5">
        <f t="shared" si="2"/>
        <v>79.558700000000002</v>
      </c>
      <c r="R8">
        <v>45.126427219999997</v>
      </c>
      <c r="S8" s="5">
        <f t="shared" si="3"/>
        <v>124.68512722</v>
      </c>
      <c r="T8" s="5">
        <f t="shared" si="4"/>
        <v>130.0022179334793</v>
      </c>
      <c r="U8">
        <v>52.153015569999994</v>
      </c>
      <c r="V8" s="12">
        <f t="shared" si="5"/>
        <v>54.377036357001352</v>
      </c>
      <c r="W8" s="12"/>
      <c r="X8" s="17">
        <f t="shared" si="6"/>
        <v>7082070465.2797432</v>
      </c>
      <c r="Y8" s="17">
        <f t="shared" si="11"/>
        <v>7082.0704652797431</v>
      </c>
      <c r="Z8" s="12">
        <f t="shared" si="7"/>
        <v>1.8356527031300047</v>
      </c>
      <c r="AA8" s="12">
        <f t="shared" si="8"/>
        <v>0.73640915923786898</v>
      </c>
      <c r="AB8" s="12">
        <f t="shared" si="9"/>
        <v>0.76781269861106149</v>
      </c>
    </row>
    <row r="9" spans="2:29" x14ac:dyDescent="0.3">
      <c r="B9">
        <v>2006</v>
      </c>
      <c r="C9">
        <v>7</v>
      </c>
      <c r="D9">
        <v>106.38</v>
      </c>
      <c r="G9" s="5">
        <f t="shared" si="0"/>
        <v>99.85294577766652</v>
      </c>
      <c r="H9" s="7">
        <v>98.975099999999998</v>
      </c>
      <c r="K9" s="5">
        <f t="shared" si="1"/>
        <v>100.05461424676189</v>
      </c>
      <c r="L9">
        <v>96.42</v>
      </c>
      <c r="N9" s="5">
        <v>57.1</v>
      </c>
      <c r="O9" s="5">
        <f t="shared" si="10"/>
        <v>59.220078821821197</v>
      </c>
      <c r="P9" s="5">
        <v>78669.3</v>
      </c>
      <c r="Q9" s="5">
        <f t="shared" si="2"/>
        <v>78.669300000000007</v>
      </c>
      <c r="R9">
        <v>34.546407040000005</v>
      </c>
      <c r="S9" s="5">
        <f t="shared" si="3"/>
        <v>113.21570704000001</v>
      </c>
      <c r="T9" s="5">
        <f t="shared" si="4"/>
        <v>117.41931864758351</v>
      </c>
      <c r="U9">
        <v>44.854334739999999</v>
      </c>
      <c r="V9" s="12">
        <f t="shared" si="5"/>
        <v>46.51974148516905</v>
      </c>
      <c r="W9" s="12"/>
      <c r="X9" s="17">
        <f t="shared" si="6"/>
        <v>7082070465.2797432</v>
      </c>
      <c r="Y9" s="17">
        <f t="shared" si="11"/>
        <v>7082.0704652797431</v>
      </c>
      <c r="Z9" s="12">
        <f t="shared" si="7"/>
        <v>1.6579800952735284</v>
      </c>
      <c r="AA9" s="12">
        <f t="shared" si="8"/>
        <v>0.63335058525470689</v>
      </c>
      <c r="AB9" s="12">
        <f t="shared" si="9"/>
        <v>0.65686640246287786</v>
      </c>
    </row>
    <row r="10" spans="2:29" x14ac:dyDescent="0.3">
      <c r="B10">
        <v>2006</v>
      </c>
      <c r="C10">
        <v>8</v>
      </c>
      <c r="D10">
        <v>107.21</v>
      </c>
      <c r="G10" s="5">
        <f t="shared" si="0"/>
        <v>100.63202027470979</v>
      </c>
      <c r="H10" s="7">
        <v>99.404700000000005</v>
      </c>
      <c r="K10" s="5">
        <f t="shared" si="1"/>
        <v>100.48889986284522</v>
      </c>
      <c r="L10">
        <v>96.59</v>
      </c>
      <c r="N10" s="5">
        <v>58.1</v>
      </c>
      <c r="O10" s="5">
        <f t="shared" si="10"/>
        <v>60.15115436380578</v>
      </c>
      <c r="P10" s="5">
        <v>97036.4</v>
      </c>
      <c r="Q10" s="5">
        <f t="shared" si="2"/>
        <v>97.0364</v>
      </c>
      <c r="R10">
        <v>39.903583130000001</v>
      </c>
      <c r="S10" s="5">
        <f t="shared" si="3"/>
        <v>136.93998313</v>
      </c>
      <c r="T10" s="5">
        <f t="shared" si="4"/>
        <v>141.77449335334919</v>
      </c>
      <c r="U10">
        <v>51.483769129999999</v>
      </c>
      <c r="V10" s="12">
        <f t="shared" si="5"/>
        <v>53.301344994305822</v>
      </c>
      <c r="W10" s="12"/>
      <c r="X10" s="17">
        <f t="shared" si="6"/>
        <v>7082070465.2797432</v>
      </c>
      <c r="Y10" s="17">
        <f t="shared" si="11"/>
        <v>7082.0704652797431</v>
      </c>
      <c r="Z10" s="12">
        <f t="shared" si="7"/>
        <v>2.0018791686471742</v>
      </c>
      <c r="AA10" s="12">
        <f t="shared" si="8"/>
        <v>0.72695928941122701</v>
      </c>
      <c r="AB10" s="12">
        <f t="shared" si="9"/>
        <v>0.75262375961406658</v>
      </c>
    </row>
    <row r="11" spans="2:29" x14ac:dyDescent="0.3">
      <c r="B11">
        <v>2006</v>
      </c>
      <c r="C11">
        <v>9</v>
      </c>
      <c r="D11">
        <v>107.29</v>
      </c>
      <c r="G11" s="5">
        <f t="shared" si="0"/>
        <v>100.7071117924971</v>
      </c>
      <c r="H11" s="7">
        <v>99.224599999999995</v>
      </c>
      <c r="K11" s="5">
        <f t="shared" si="1"/>
        <v>100.30683552519017</v>
      </c>
      <c r="L11">
        <v>96.2</v>
      </c>
      <c r="N11" s="5">
        <v>63.4</v>
      </c>
      <c r="O11" s="5">
        <f t="shared" si="10"/>
        <v>65.904365904365903</v>
      </c>
      <c r="P11" s="5">
        <v>85279.1</v>
      </c>
      <c r="Q11" s="5">
        <f t="shared" si="2"/>
        <v>85.2791</v>
      </c>
      <c r="R11">
        <v>38.679739839999996</v>
      </c>
      <c r="S11" s="5">
        <f t="shared" si="3"/>
        <v>123.95883984</v>
      </c>
      <c r="T11" s="5">
        <f t="shared" si="4"/>
        <v>128.85534286902288</v>
      </c>
      <c r="U11">
        <v>42.033606379999995</v>
      </c>
      <c r="V11" s="12">
        <f t="shared" si="5"/>
        <v>43.69397752598752</v>
      </c>
      <c r="W11" s="12"/>
      <c r="X11" s="17">
        <f t="shared" si="6"/>
        <v>7082070465.2797432</v>
      </c>
      <c r="Y11" s="17">
        <f t="shared" si="11"/>
        <v>7082.0704652797431</v>
      </c>
      <c r="Z11" s="12">
        <f t="shared" si="7"/>
        <v>1.8194586385541289</v>
      </c>
      <c r="AA11" s="12">
        <f t="shared" si="8"/>
        <v>0.5935214367898789</v>
      </c>
      <c r="AB11" s="12">
        <f t="shared" si="9"/>
        <v>0.61696615050922965</v>
      </c>
    </row>
    <row r="12" spans="2:29" x14ac:dyDescent="0.3">
      <c r="B12">
        <v>2006</v>
      </c>
      <c r="C12">
        <v>10</v>
      </c>
      <c r="D12">
        <v>106.83</v>
      </c>
      <c r="G12" s="5">
        <f t="shared" si="0"/>
        <v>100.2753355652201</v>
      </c>
      <c r="H12" s="7">
        <v>99.122900000000001</v>
      </c>
      <c r="K12" s="5">
        <f t="shared" si="1"/>
        <v>100.20402629065649</v>
      </c>
      <c r="L12">
        <v>96.63</v>
      </c>
      <c r="N12" s="5">
        <v>61.2</v>
      </c>
      <c r="O12" s="5">
        <f t="shared" si="10"/>
        <v>63.334368208630863</v>
      </c>
      <c r="P12" s="5">
        <v>94526.3</v>
      </c>
      <c r="Q12" s="5">
        <f t="shared" si="2"/>
        <v>94.526300000000006</v>
      </c>
      <c r="R12">
        <v>50.318572770000003</v>
      </c>
      <c r="S12" s="5">
        <f t="shared" si="3"/>
        <v>144.84487276999999</v>
      </c>
      <c r="T12" s="5">
        <f t="shared" si="4"/>
        <v>149.89638080306321</v>
      </c>
      <c r="U12">
        <v>40.634757659999998</v>
      </c>
      <c r="V12" s="12">
        <f t="shared" si="5"/>
        <v>42.051906923315741</v>
      </c>
      <c r="W12" s="12"/>
      <c r="X12" s="17">
        <f t="shared" si="6"/>
        <v>7082070465.2797432</v>
      </c>
      <c r="Y12" s="17">
        <f t="shared" si="11"/>
        <v>7082.0704652797431</v>
      </c>
      <c r="Z12" s="12">
        <f t="shared" si="7"/>
        <v>2.1165615555216348</v>
      </c>
      <c r="AA12" s="12">
        <f t="shared" si="8"/>
        <v>0.57376946274700646</v>
      </c>
      <c r="AB12" s="12">
        <f t="shared" si="9"/>
        <v>0.59377984347201329</v>
      </c>
    </row>
    <row r="13" spans="2:29" x14ac:dyDescent="0.3">
      <c r="B13">
        <v>2006</v>
      </c>
      <c r="C13">
        <v>11</v>
      </c>
      <c r="D13">
        <v>106.59</v>
      </c>
      <c r="G13" s="5">
        <f t="shared" si="0"/>
        <v>100.05006101185819</v>
      </c>
      <c r="H13" s="7">
        <v>99.096299999999999</v>
      </c>
      <c r="K13" s="5">
        <f t="shared" si="1"/>
        <v>100.17713616638316</v>
      </c>
      <c r="L13">
        <v>97.36</v>
      </c>
      <c r="N13" s="5">
        <v>52.9</v>
      </c>
      <c r="O13" s="5">
        <f t="shared" si="10"/>
        <v>54.334428923582578</v>
      </c>
      <c r="P13" s="5">
        <v>83655.199999999997</v>
      </c>
      <c r="Q13" s="5">
        <f t="shared" si="2"/>
        <v>83.655199999999994</v>
      </c>
      <c r="R13">
        <v>44.027968129999991</v>
      </c>
      <c r="S13" s="5">
        <f t="shared" si="3"/>
        <v>127.68316812999998</v>
      </c>
      <c r="T13" s="5">
        <f t="shared" si="4"/>
        <v>131.14540687140507</v>
      </c>
      <c r="U13">
        <v>42.928474170000008</v>
      </c>
      <c r="V13" s="12">
        <f t="shared" si="5"/>
        <v>44.092516608463441</v>
      </c>
      <c r="W13" s="12"/>
      <c r="X13" s="17">
        <f t="shared" si="6"/>
        <v>7082070465.2797432</v>
      </c>
      <c r="Y13" s="17">
        <f t="shared" si="11"/>
        <v>7082.0704652797431</v>
      </c>
      <c r="Z13" s="12">
        <f t="shared" si="7"/>
        <v>1.8517947189928843</v>
      </c>
      <c r="AA13" s="12">
        <f t="shared" si="8"/>
        <v>0.60615711719417809</v>
      </c>
      <c r="AB13" s="12">
        <f t="shared" si="9"/>
        <v>0.62259358791513775</v>
      </c>
    </row>
    <row r="14" spans="2:29" x14ac:dyDescent="0.3">
      <c r="B14">
        <v>2006</v>
      </c>
      <c r="C14">
        <v>12</v>
      </c>
      <c r="D14">
        <v>105.88</v>
      </c>
      <c r="G14" s="5">
        <f t="shared" si="0"/>
        <v>99.383623791495864</v>
      </c>
      <c r="H14" s="7">
        <v>100.1125</v>
      </c>
      <c r="K14" s="5">
        <f t="shared" si="1"/>
        <v>101.20441978617804</v>
      </c>
      <c r="L14">
        <v>98.93</v>
      </c>
      <c r="N14" s="5">
        <v>62.7</v>
      </c>
      <c r="O14" s="5">
        <f t="shared" si="10"/>
        <v>63.378146163954305</v>
      </c>
      <c r="P14" s="5">
        <v>81254</v>
      </c>
      <c r="Q14" s="5">
        <f t="shared" si="2"/>
        <v>81.254000000000005</v>
      </c>
      <c r="R14">
        <v>48.322374010000004</v>
      </c>
      <c r="S14" s="5">
        <f t="shared" si="3"/>
        <v>129.57637400999999</v>
      </c>
      <c r="T14" s="5">
        <f t="shared" si="4"/>
        <v>130.97783686444959</v>
      </c>
      <c r="U14">
        <v>46.737380030000004</v>
      </c>
      <c r="V14" s="12">
        <f t="shared" si="5"/>
        <v>47.242878833518645</v>
      </c>
      <c r="W14" s="12"/>
      <c r="X14" s="17">
        <f t="shared" si="6"/>
        <v>7082070465.2797432</v>
      </c>
      <c r="Y14" s="17">
        <f t="shared" si="11"/>
        <v>7082.0704652797431</v>
      </c>
      <c r="Z14" s="12">
        <f t="shared" si="7"/>
        <v>1.849428602928705</v>
      </c>
      <c r="AA14" s="12">
        <f t="shared" si="8"/>
        <v>0.659939494518343</v>
      </c>
      <c r="AB14" s="12">
        <f t="shared" si="9"/>
        <v>0.66707722078069642</v>
      </c>
    </row>
    <row r="15" spans="2:29" s="9" customFormat="1" x14ac:dyDescent="0.3">
      <c r="B15" s="9">
        <v>2007</v>
      </c>
      <c r="C15" s="9">
        <v>1</v>
      </c>
      <c r="D15" s="9">
        <v>105.57</v>
      </c>
      <c r="G15" s="9">
        <f t="shared" si="0"/>
        <v>99.092644160070066</v>
      </c>
      <c r="H15" s="10">
        <v>99.754599999999996</v>
      </c>
      <c r="K15" s="9">
        <f t="shared" si="1"/>
        <v>100.84261619680134</v>
      </c>
      <c r="L15" s="9">
        <v>99.8</v>
      </c>
      <c r="M15" s="9">
        <f>AVERAGE(L15:L26)</f>
        <v>106.13333333333333</v>
      </c>
      <c r="N15" s="9">
        <v>51.4</v>
      </c>
      <c r="O15" s="9">
        <f t="shared" si="10"/>
        <v>51.503006012024045</v>
      </c>
      <c r="P15" s="9">
        <v>86759.193894896598</v>
      </c>
      <c r="Q15" s="9">
        <f t="shared" si="2"/>
        <v>86.759193894896597</v>
      </c>
      <c r="R15" s="9">
        <v>45.105184999999999</v>
      </c>
      <c r="S15" s="9">
        <f t="shared" si="3"/>
        <v>131.86437889489659</v>
      </c>
      <c r="T15" s="9">
        <f t="shared" si="4"/>
        <v>132.12863616723104</v>
      </c>
      <c r="U15" s="9">
        <v>46.03125687</v>
      </c>
      <c r="V15" s="13">
        <f t="shared" si="5"/>
        <v>46.12350387775551</v>
      </c>
      <c r="W15" s="13">
        <v>7423375014.7572937</v>
      </c>
      <c r="X15" s="15">
        <f t="shared" ref="X15:X26" si="12">($W$15/$L$15)*100</f>
        <v>7438251517.7928791</v>
      </c>
      <c r="Y15" s="15">
        <f t="shared" si="11"/>
        <v>7438.251517792879</v>
      </c>
      <c r="Z15" s="13">
        <f t="shared" si="7"/>
        <v>1.7763399886541753</v>
      </c>
      <c r="AA15" s="13">
        <f t="shared" si="8"/>
        <v>0.61884512455500651</v>
      </c>
      <c r="AB15" s="13">
        <f t="shared" si="9"/>
        <v>0.62008529514529698</v>
      </c>
    </row>
    <row r="16" spans="2:29" x14ac:dyDescent="0.3">
      <c r="B16">
        <v>2007</v>
      </c>
      <c r="C16">
        <v>2</v>
      </c>
      <c r="D16">
        <v>105.25</v>
      </c>
      <c r="G16" s="5">
        <f t="shared" si="0"/>
        <v>98.792278088920852</v>
      </c>
      <c r="H16" s="7">
        <v>100.7166</v>
      </c>
      <c r="K16" s="5">
        <f t="shared" si="1"/>
        <v>101.81510866112203</v>
      </c>
      <c r="L16">
        <v>100.98</v>
      </c>
      <c r="N16" s="5">
        <v>52.6</v>
      </c>
      <c r="O16" s="5">
        <f t="shared" si="10"/>
        <v>52.089522677757969</v>
      </c>
      <c r="P16" s="5">
        <v>82459.694145865506</v>
      </c>
      <c r="Q16" s="5">
        <f t="shared" si="2"/>
        <v>82.459694145865512</v>
      </c>
      <c r="R16">
        <v>49.920122190000008</v>
      </c>
      <c r="S16" s="5">
        <f t="shared" si="3"/>
        <v>132.37981633586551</v>
      </c>
      <c r="T16" s="5">
        <f t="shared" si="4"/>
        <v>131.09508450769013</v>
      </c>
      <c r="U16">
        <v>46.689957450000001</v>
      </c>
      <c r="V16" s="12">
        <f t="shared" si="5"/>
        <v>46.236836452762923</v>
      </c>
      <c r="W16" s="12"/>
      <c r="X16" s="17">
        <f t="shared" si="12"/>
        <v>7438251517.7928791</v>
      </c>
      <c r="Y16" s="17">
        <f t="shared" si="11"/>
        <v>7438.251517792879</v>
      </c>
      <c r="Z16" s="12">
        <f t="shared" si="7"/>
        <v>1.7624448997738307</v>
      </c>
      <c r="AA16" s="12">
        <f t="shared" si="8"/>
        <v>0.62770070813435086</v>
      </c>
      <c r="AB16" s="12">
        <f t="shared" si="9"/>
        <v>0.62160894051728144</v>
      </c>
    </row>
    <row r="17" spans="2:28" x14ac:dyDescent="0.3">
      <c r="B17">
        <v>2007</v>
      </c>
      <c r="C17">
        <v>3</v>
      </c>
      <c r="D17">
        <v>104.89</v>
      </c>
      <c r="G17" s="5">
        <f t="shared" si="0"/>
        <v>98.454366258877997</v>
      </c>
      <c r="H17" s="7">
        <v>100.8952</v>
      </c>
      <c r="K17" s="5">
        <f t="shared" si="1"/>
        <v>101.99565663838573</v>
      </c>
      <c r="L17">
        <v>102.11</v>
      </c>
      <c r="N17" s="5">
        <v>61.1</v>
      </c>
      <c r="O17" s="5">
        <f t="shared" si="10"/>
        <v>59.837430222309273</v>
      </c>
      <c r="P17" s="5">
        <v>96671.9280824999</v>
      </c>
      <c r="Q17" s="5">
        <f t="shared" si="2"/>
        <v>96.671928082499903</v>
      </c>
      <c r="R17">
        <v>59.498508080000001</v>
      </c>
      <c r="S17" s="5">
        <f t="shared" si="3"/>
        <v>156.1704361624999</v>
      </c>
      <c r="T17" s="5">
        <f t="shared" si="4"/>
        <v>152.94333186024863</v>
      </c>
      <c r="U17">
        <v>63.896308290000007</v>
      </c>
      <c r="V17" s="12">
        <f t="shared" si="5"/>
        <v>62.575955626285385</v>
      </c>
      <c r="W17" s="12"/>
      <c r="X17" s="17">
        <f t="shared" si="12"/>
        <v>7438251517.7928791</v>
      </c>
      <c r="Y17" s="17">
        <f t="shared" si="11"/>
        <v>7438.251517792879</v>
      </c>
      <c r="Z17" s="12">
        <f t="shared" si="7"/>
        <v>2.0561731677719721</v>
      </c>
      <c r="AA17" s="12">
        <f t="shared" si="8"/>
        <v>0.85902322793407904</v>
      </c>
      <c r="AB17" s="12">
        <f t="shared" si="9"/>
        <v>0.84127238070128185</v>
      </c>
    </row>
    <row r="18" spans="2:28" x14ac:dyDescent="0.3">
      <c r="B18">
        <v>2007</v>
      </c>
      <c r="C18">
        <v>4</v>
      </c>
      <c r="D18">
        <v>104.3</v>
      </c>
      <c r="G18" s="5">
        <f t="shared" si="0"/>
        <v>97.900566315196627</v>
      </c>
      <c r="H18" s="7">
        <v>101.5723</v>
      </c>
      <c r="K18" s="5">
        <f t="shared" si="1"/>
        <v>102.68014171904218</v>
      </c>
      <c r="L18">
        <v>103.14</v>
      </c>
      <c r="N18" s="5">
        <v>57.3</v>
      </c>
      <c r="O18" s="5">
        <f t="shared" si="10"/>
        <v>55.555555555555557</v>
      </c>
      <c r="P18" s="5">
        <v>78464.816355801304</v>
      </c>
      <c r="Q18" s="5">
        <f t="shared" si="2"/>
        <v>78.464816355801304</v>
      </c>
      <c r="R18">
        <v>42.701151220000007</v>
      </c>
      <c r="S18" s="5">
        <f t="shared" si="3"/>
        <v>121.16596757580132</v>
      </c>
      <c r="T18" s="5">
        <f t="shared" si="4"/>
        <v>117.47718399825608</v>
      </c>
      <c r="U18">
        <v>52.628233609999988</v>
      </c>
      <c r="V18" s="12">
        <f t="shared" si="5"/>
        <v>51.026016686057773</v>
      </c>
      <c r="W18" s="12"/>
      <c r="X18" s="17">
        <f t="shared" si="12"/>
        <v>7438251517.7928791</v>
      </c>
      <c r="Y18" s="17">
        <f t="shared" si="11"/>
        <v>7438.251517792879</v>
      </c>
      <c r="Z18" s="12">
        <f t="shared" si="7"/>
        <v>1.5793655769402455</v>
      </c>
      <c r="AA18" s="12">
        <f t="shared" si="8"/>
        <v>0.70753500986231965</v>
      </c>
      <c r="AB18" s="12">
        <f t="shared" si="9"/>
        <v>0.68599477395997643</v>
      </c>
    </row>
    <row r="19" spans="2:28" x14ac:dyDescent="0.3">
      <c r="B19">
        <v>2007</v>
      </c>
      <c r="C19">
        <v>5</v>
      </c>
      <c r="D19">
        <v>104.16</v>
      </c>
      <c r="G19" s="5">
        <f t="shared" si="0"/>
        <v>97.769156159068842</v>
      </c>
      <c r="H19" s="7">
        <v>101.62690000000001</v>
      </c>
      <c r="K19" s="5">
        <f t="shared" si="1"/>
        <v>102.73533723728742</v>
      </c>
      <c r="L19">
        <v>103.93</v>
      </c>
      <c r="N19" s="5">
        <v>63.9</v>
      </c>
      <c r="O19" s="5">
        <f t="shared" si="10"/>
        <v>61.483690945828918</v>
      </c>
      <c r="P19" s="5">
        <v>91322.439563650201</v>
      </c>
      <c r="Q19" s="5">
        <f t="shared" si="2"/>
        <v>91.322439563650207</v>
      </c>
      <c r="R19">
        <v>52.660551640000001</v>
      </c>
      <c r="S19" s="5">
        <f t="shared" si="3"/>
        <v>143.98299120365022</v>
      </c>
      <c r="T19" s="5">
        <f t="shared" si="4"/>
        <v>138.53843087044183</v>
      </c>
      <c r="U19">
        <v>54.601728090000002</v>
      </c>
      <c r="V19" s="12">
        <f t="shared" si="5"/>
        <v>52.537023082844229</v>
      </c>
      <c r="W19" s="12"/>
      <c r="X19" s="17">
        <f t="shared" si="12"/>
        <v>7438251517.7928791</v>
      </c>
      <c r="Y19" s="17">
        <f t="shared" si="11"/>
        <v>7438.251517792879</v>
      </c>
      <c r="Z19" s="12">
        <f t="shared" si="7"/>
        <v>1.8625133949698673</v>
      </c>
      <c r="AA19" s="12">
        <f t="shared" si="8"/>
        <v>0.73406670854552847</v>
      </c>
      <c r="AB19" s="12">
        <f t="shared" si="9"/>
        <v>0.70630877373763934</v>
      </c>
    </row>
    <row r="20" spans="2:28" x14ac:dyDescent="0.3">
      <c r="B20">
        <v>2007</v>
      </c>
      <c r="C20">
        <v>6</v>
      </c>
      <c r="D20">
        <v>103.55</v>
      </c>
      <c r="G20" s="5">
        <f t="shared" si="0"/>
        <v>97.196583335940659</v>
      </c>
      <c r="H20" s="7">
        <v>101.65470000000001</v>
      </c>
      <c r="K20" s="5">
        <f t="shared" si="1"/>
        <v>102.76344044987383</v>
      </c>
      <c r="L20">
        <v>104.98</v>
      </c>
      <c r="N20" s="5">
        <v>59.9</v>
      </c>
      <c r="O20" s="5">
        <f t="shared" si="10"/>
        <v>57.058487330920173</v>
      </c>
      <c r="P20" s="5">
        <v>96088.466866682895</v>
      </c>
      <c r="Q20" s="5">
        <f t="shared" si="2"/>
        <v>96.088466866682893</v>
      </c>
      <c r="R20">
        <v>60.434018559999998</v>
      </c>
      <c r="S20" s="5">
        <f t="shared" si="3"/>
        <v>156.52248542668289</v>
      </c>
      <c r="T20" s="5">
        <f t="shared" si="4"/>
        <v>149.09743325079336</v>
      </c>
      <c r="U20">
        <v>50.740078889999992</v>
      </c>
      <c r="V20" s="12">
        <f t="shared" si="5"/>
        <v>48.333090960182886</v>
      </c>
      <c r="W20" s="12"/>
      <c r="X20" s="17">
        <f t="shared" si="12"/>
        <v>7438251517.7928791</v>
      </c>
      <c r="Y20" s="17">
        <f t="shared" si="11"/>
        <v>7438.251517792879</v>
      </c>
      <c r="Z20" s="12">
        <f t="shared" si="7"/>
        <v>2.0044688310705903</v>
      </c>
      <c r="AA20" s="12">
        <f t="shared" si="8"/>
        <v>0.68215062059444698</v>
      </c>
      <c r="AB20" s="12">
        <f t="shared" si="9"/>
        <v>0.64979102742850725</v>
      </c>
    </row>
    <row r="21" spans="2:28" x14ac:dyDescent="0.3">
      <c r="B21">
        <v>2007</v>
      </c>
      <c r="C21">
        <v>7</v>
      </c>
      <c r="D21">
        <v>103.31</v>
      </c>
      <c r="G21" s="5">
        <f t="shared" si="0"/>
        <v>96.97130878257876</v>
      </c>
      <c r="H21" s="7">
        <v>101.4953</v>
      </c>
      <c r="K21" s="5">
        <f t="shared" si="1"/>
        <v>102.60230188561944</v>
      </c>
      <c r="L21">
        <v>105.83</v>
      </c>
      <c r="N21" s="5">
        <v>61.8</v>
      </c>
      <c r="O21" s="5">
        <f t="shared" si="10"/>
        <v>58.395540017008408</v>
      </c>
      <c r="P21" s="5">
        <v>100628.147983305</v>
      </c>
      <c r="Q21" s="5">
        <f t="shared" si="2"/>
        <v>100.628147983305</v>
      </c>
      <c r="R21">
        <v>57.160892419999989</v>
      </c>
      <c r="S21" s="5">
        <f t="shared" si="3"/>
        <v>157.78904040330499</v>
      </c>
      <c r="T21" s="5">
        <f t="shared" si="4"/>
        <v>149.09670263942644</v>
      </c>
      <c r="U21">
        <v>48.852440500000007</v>
      </c>
      <c r="V21" s="12">
        <f t="shared" si="5"/>
        <v>46.161240196541634</v>
      </c>
      <c r="W21" s="12"/>
      <c r="X21" s="17">
        <f t="shared" si="12"/>
        <v>7438251517.7928791</v>
      </c>
      <c r="Y21" s="17">
        <f t="shared" si="11"/>
        <v>7438.251517792879</v>
      </c>
      <c r="Z21" s="12">
        <f t="shared" si="7"/>
        <v>2.0044590087169745</v>
      </c>
      <c r="AA21" s="12">
        <f t="shared" si="8"/>
        <v>0.65677317287727033</v>
      </c>
      <c r="AB21" s="12">
        <f t="shared" si="9"/>
        <v>0.62059262295877382</v>
      </c>
    </row>
    <row r="22" spans="2:28" x14ac:dyDescent="0.3">
      <c r="B22">
        <v>2007</v>
      </c>
      <c r="C22">
        <v>8</v>
      </c>
      <c r="D22">
        <v>103.87</v>
      </c>
      <c r="G22" s="5">
        <f t="shared" si="0"/>
        <v>97.496949407089886</v>
      </c>
      <c r="H22" s="7">
        <v>101.6943</v>
      </c>
      <c r="K22" s="5">
        <f t="shared" si="1"/>
        <v>102.80347236420552</v>
      </c>
      <c r="L22">
        <v>106.12</v>
      </c>
      <c r="N22" s="5">
        <v>65.2</v>
      </c>
      <c r="O22" s="5">
        <f t="shared" si="10"/>
        <v>61.439879381831886</v>
      </c>
      <c r="P22" s="5">
        <v>105379.025081714</v>
      </c>
      <c r="Q22" s="5">
        <f t="shared" si="2"/>
        <v>105.379025081714</v>
      </c>
      <c r="R22">
        <v>54.226330660000009</v>
      </c>
      <c r="S22" s="5">
        <f t="shared" si="3"/>
        <v>159.60535574171402</v>
      </c>
      <c r="T22" s="5">
        <f t="shared" si="4"/>
        <v>150.40082523719752</v>
      </c>
      <c r="U22">
        <v>49.48042512</v>
      </c>
      <c r="V22" s="12">
        <f t="shared" si="5"/>
        <v>46.626861213720318</v>
      </c>
      <c r="W22" s="12"/>
      <c r="X22" s="17">
        <f t="shared" si="12"/>
        <v>7438251517.7928791</v>
      </c>
      <c r="Y22" s="17">
        <f t="shared" si="11"/>
        <v>7438.251517792879</v>
      </c>
      <c r="Z22" s="12">
        <f t="shared" si="7"/>
        <v>2.0219916586233606</v>
      </c>
      <c r="AA22" s="12">
        <f t="shared" si="8"/>
        <v>0.66521581048501732</v>
      </c>
      <c r="AB22" s="12">
        <f t="shared" si="9"/>
        <v>0.62685244109029148</v>
      </c>
    </row>
    <row r="23" spans="2:28" x14ac:dyDescent="0.3">
      <c r="B23">
        <v>2007</v>
      </c>
      <c r="C23">
        <v>9</v>
      </c>
      <c r="D23">
        <v>103.62</v>
      </c>
      <c r="G23" s="5">
        <f t="shared" si="0"/>
        <v>97.262288414004558</v>
      </c>
      <c r="H23" s="7">
        <v>101.94280000000001</v>
      </c>
      <c r="K23" s="5">
        <f t="shared" si="1"/>
        <v>103.05468273570624</v>
      </c>
      <c r="L23">
        <v>107.32</v>
      </c>
      <c r="N23" s="5">
        <v>62.7</v>
      </c>
      <c r="O23" s="5">
        <f t="shared" si="10"/>
        <v>58.423406634364525</v>
      </c>
      <c r="P23" s="5">
        <v>94659.606995148701</v>
      </c>
      <c r="Q23" s="5">
        <f t="shared" si="2"/>
        <v>94.659606995148707</v>
      </c>
      <c r="R23">
        <v>50.10495361000001</v>
      </c>
      <c r="S23" s="5">
        <f t="shared" si="3"/>
        <v>144.76456060514872</v>
      </c>
      <c r="T23" s="5">
        <f t="shared" si="4"/>
        <v>134.89057082104802</v>
      </c>
      <c r="U23">
        <v>43.943525409999999</v>
      </c>
      <c r="V23" s="12">
        <f t="shared" si="5"/>
        <v>40.946259234066346</v>
      </c>
      <c r="W23" s="12"/>
      <c r="X23" s="17">
        <f t="shared" si="12"/>
        <v>7438251517.7928791</v>
      </c>
      <c r="Y23" s="17">
        <f t="shared" si="11"/>
        <v>7438.251517792879</v>
      </c>
      <c r="Z23" s="12">
        <f t="shared" si="7"/>
        <v>1.8134714925729416</v>
      </c>
      <c r="AA23" s="12">
        <f t="shared" si="8"/>
        <v>0.59077762166126879</v>
      </c>
      <c r="AB23" s="12">
        <f t="shared" si="9"/>
        <v>0.55048231612119725</v>
      </c>
    </row>
    <row r="24" spans="2:28" x14ac:dyDescent="0.3">
      <c r="B24">
        <v>2007</v>
      </c>
      <c r="C24">
        <v>10</v>
      </c>
      <c r="D24">
        <v>102.49</v>
      </c>
      <c r="G24" s="5">
        <f t="shared" si="0"/>
        <v>96.201620725258891</v>
      </c>
      <c r="H24" s="7">
        <v>101.6446</v>
      </c>
      <c r="K24" s="5">
        <f t="shared" si="1"/>
        <v>102.75323028990537</v>
      </c>
      <c r="L24">
        <v>109.53</v>
      </c>
      <c r="N24" s="5">
        <v>66.5</v>
      </c>
      <c r="O24" s="5">
        <f t="shared" si="10"/>
        <v>60.713959645759154</v>
      </c>
      <c r="P24" s="5">
        <v>102679.84536249599</v>
      </c>
      <c r="Q24" s="5">
        <f t="shared" si="2"/>
        <v>102.679845362496</v>
      </c>
      <c r="R24">
        <v>54.067442239999998</v>
      </c>
      <c r="S24" s="5">
        <f t="shared" si="3"/>
        <v>156.74728760249599</v>
      </c>
      <c r="T24" s="5">
        <f t="shared" si="4"/>
        <v>143.10899991097963</v>
      </c>
      <c r="U24">
        <v>48.422844380000001</v>
      </c>
      <c r="V24" s="12">
        <f t="shared" si="5"/>
        <v>44.209663452935274</v>
      </c>
      <c r="W24" s="12"/>
      <c r="X24" s="17">
        <f t="shared" si="12"/>
        <v>7438251517.7928791</v>
      </c>
      <c r="Y24" s="17">
        <f t="shared" si="11"/>
        <v>7438.251517792879</v>
      </c>
      <c r="Z24" s="12">
        <f t="shared" si="7"/>
        <v>1.9239602152286963</v>
      </c>
      <c r="AA24" s="12">
        <f t="shared" si="8"/>
        <v>0.65099767417340981</v>
      </c>
      <c r="AB24" s="12">
        <f t="shared" si="9"/>
        <v>0.59435558675560107</v>
      </c>
    </row>
    <row r="25" spans="2:28" x14ac:dyDescent="0.3">
      <c r="B25">
        <v>2007</v>
      </c>
      <c r="C25">
        <v>11</v>
      </c>
      <c r="D25">
        <v>99.46</v>
      </c>
      <c r="G25" s="5">
        <f t="shared" si="0"/>
        <v>93.357529489064774</v>
      </c>
      <c r="H25" s="7">
        <v>102.2167</v>
      </c>
      <c r="K25" s="5">
        <f t="shared" si="1"/>
        <v>103.33157014316718</v>
      </c>
      <c r="L25">
        <v>114.24</v>
      </c>
      <c r="N25" s="5">
        <v>65.7</v>
      </c>
      <c r="O25" s="5">
        <f t="shared" si="10"/>
        <v>57.510504201680682</v>
      </c>
      <c r="P25" s="5">
        <v>93062.350318996105</v>
      </c>
      <c r="Q25" s="5">
        <f t="shared" si="2"/>
        <v>93.06235031899611</v>
      </c>
      <c r="R25">
        <v>60.746477899999995</v>
      </c>
      <c r="S25" s="5">
        <f t="shared" si="3"/>
        <v>153.8088282189961</v>
      </c>
      <c r="T25" s="5">
        <f t="shared" si="4"/>
        <v>134.63657932335093</v>
      </c>
      <c r="U25">
        <v>40.401171149999996</v>
      </c>
      <c r="V25" s="12">
        <f t="shared" si="5"/>
        <v>35.365170824579828</v>
      </c>
      <c r="W25" s="12"/>
      <c r="X25" s="17">
        <f t="shared" si="12"/>
        <v>7438251517.7928791</v>
      </c>
      <c r="Y25" s="17">
        <f t="shared" si="11"/>
        <v>7438.251517792879</v>
      </c>
      <c r="Z25" s="12">
        <f t="shared" si="7"/>
        <v>1.8100568258721785</v>
      </c>
      <c r="AA25" s="12">
        <f t="shared" si="8"/>
        <v>0.54315414117628635</v>
      </c>
      <c r="AB25" s="12">
        <f t="shared" si="9"/>
        <v>0.47545005355067083</v>
      </c>
    </row>
    <row r="26" spans="2:28" x14ac:dyDescent="0.3">
      <c r="B26">
        <v>2007</v>
      </c>
      <c r="C26">
        <v>12</v>
      </c>
      <c r="D26">
        <v>98.81</v>
      </c>
      <c r="G26" s="5">
        <f t="shared" si="0"/>
        <v>92.747410907042948</v>
      </c>
      <c r="H26" s="7">
        <v>102.2764</v>
      </c>
      <c r="K26" s="5">
        <f t="shared" si="1"/>
        <v>103.391921286743</v>
      </c>
      <c r="L26">
        <v>115.62</v>
      </c>
      <c r="N26" s="5">
        <v>71.5</v>
      </c>
      <c r="O26" s="5">
        <f t="shared" si="10"/>
        <v>61.840512022141489</v>
      </c>
      <c r="P26" s="5">
        <v>82091.460282407803</v>
      </c>
      <c r="Q26" s="5">
        <f t="shared" si="2"/>
        <v>82.091460282407809</v>
      </c>
      <c r="R26">
        <v>56.129842449999998</v>
      </c>
      <c r="S26" s="5">
        <f t="shared" si="3"/>
        <v>138.22130273240782</v>
      </c>
      <c r="T26" s="5">
        <f t="shared" si="4"/>
        <v>119.54791794880455</v>
      </c>
      <c r="U26">
        <v>47.537271100000005</v>
      </c>
      <c r="V26" s="12">
        <f t="shared" si="5"/>
        <v>41.115093495934964</v>
      </c>
      <c r="W26" s="12"/>
      <c r="X26" s="17">
        <f t="shared" si="12"/>
        <v>7438251517.7928791</v>
      </c>
      <c r="Y26" s="17">
        <f t="shared" si="11"/>
        <v>7438.251517792879</v>
      </c>
      <c r="Z26" s="12">
        <f t="shared" si="7"/>
        <v>1.607204564981926</v>
      </c>
      <c r="AA26" s="12">
        <f t="shared" si="8"/>
        <v>0.63909200954400558</v>
      </c>
      <c r="AB26" s="12">
        <f t="shared" si="9"/>
        <v>0.55275212726518386</v>
      </c>
    </row>
    <row r="27" spans="2:28" s="9" customFormat="1" x14ac:dyDescent="0.3">
      <c r="B27" s="9">
        <v>2008</v>
      </c>
      <c r="C27" s="9">
        <v>1</v>
      </c>
      <c r="D27" s="9">
        <v>98.26</v>
      </c>
      <c r="G27" s="9">
        <f t="shared" si="0"/>
        <v>92.231156722255236</v>
      </c>
      <c r="H27" s="10">
        <v>102.1493</v>
      </c>
      <c r="K27" s="9">
        <f t="shared" si="1"/>
        <v>103.26343501624908</v>
      </c>
      <c r="L27" s="9">
        <v>117.05</v>
      </c>
      <c r="M27" s="9">
        <f>AVERAGE(L27:L38)</f>
        <v>127.17583333333333</v>
      </c>
      <c r="N27" s="9">
        <v>60.8</v>
      </c>
      <c r="O27" s="9">
        <f t="shared" si="10"/>
        <v>51.943613840239209</v>
      </c>
      <c r="P27" s="9">
        <v>100434.03823909099</v>
      </c>
      <c r="Q27" s="9">
        <f t="shared" si="2"/>
        <v>100.434038239091</v>
      </c>
      <c r="R27" s="9">
        <v>57.278056870000015</v>
      </c>
      <c r="S27" s="9">
        <f t="shared" si="3"/>
        <v>157.71209510909102</v>
      </c>
      <c r="T27" s="9">
        <f t="shared" si="4"/>
        <v>134.73908168226487</v>
      </c>
      <c r="U27" s="9">
        <v>62.249861420000009</v>
      </c>
      <c r="V27" s="13">
        <f t="shared" si="5"/>
        <v>53.182282289619835</v>
      </c>
      <c r="W27" s="13">
        <v>8496967596.7700844</v>
      </c>
      <c r="X27" s="15">
        <f t="shared" ref="X27:X38" si="13">($W$27/$L$27)*100</f>
        <v>7259263218.08636</v>
      </c>
      <c r="Y27" s="15">
        <f t="shared" si="11"/>
        <v>7259.2632180863602</v>
      </c>
      <c r="Z27" s="13">
        <f t="shared" si="7"/>
        <v>1.8560985823818068</v>
      </c>
      <c r="AA27" s="13">
        <f t="shared" si="8"/>
        <v>0.85752313354481058</v>
      </c>
      <c r="AB27" s="13">
        <f t="shared" si="9"/>
        <v>0.7326126728276896</v>
      </c>
    </row>
    <row r="28" spans="2:28" x14ac:dyDescent="0.3">
      <c r="B28">
        <v>2008</v>
      </c>
      <c r="C28">
        <v>2</v>
      </c>
      <c r="D28">
        <v>96.94</v>
      </c>
      <c r="G28" s="5">
        <f t="shared" si="0"/>
        <v>90.992146678764726</v>
      </c>
      <c r="H28" s="7">
        <v>101.7756</v>
      </c>
      <c r="K28" s="5">
        <f t="shared" si="1"/>
        <v>102.88565909741682</v>
      </c>
      <c r="L28">
        <v>119.51</v>
      </c>
      <c r="N28" s="5">
        <v>63.4</v>
      </c>
      <c r="O28" s="5">
        <f t="shared" si="10"/>
        <v>53.049953978746544</v>
      </c>
      <c r="P28" s="5">
        <v>100330.831753394</v>
      </c>
      <c r="Q28" s="5">
        <f t="shared" si="2"/>
        <v>100.33083175339399</v>
      </c>
      <c r="R28">
        <v>68.069614720000004</v>
      </c>
      <c r="S28" s="5">
        <f t="shared" si="3"/>
        <v>168.400446473394</v>
      </c>
      <c r="T28" s="5">
        <f t="shared" si="4"/>
        <v>140.90908415479373</v>
      </c>
      <c r="U28">
        <v>62.500362869999996</v>
      </c>
      <c r="V28" s="12">
        <f t="shared" si="5"/>
        <v>52.297182553761189</v>
      </c>
      <c r="W28" s="12"/>
      <c r="X28" s="17">
        <f t="shared" si="13"/>
        <v>7259263218.08636</v>
      </c>
      <c r="Y28" s="17">
        <f t="shared" si="11"/>
        <v>7259.2632180863602</v>
      </c>
      <c r="Z28" s="12">
        <f t="shared" si="7"/>
        <v>1.9410934680494925</v>
      </c>
      <c r="AA28" s="12">
        <f t="shared" si="8"/>
        <v>0.86097391694354253</v>
      </c>
      <c r="AB28" s="12">
        <f t="shared" si="9"/>
        <v>0.72041997903400767</v>
      </c>
    </row>
    <row r="29" spans="2:28" x14ac:dyDescent="0.3">
      <c r="B29">
        <v>2008</v>
      </c>
      <c r="C29">
        <v>3</v>
      </c>
      <c r="D29">
        <v>96.1</v>
      </c>
      <c r="G29" s="5">
        <f t="shared" si="0"/>
        <v>90.203685741998044</v>
      </c>
      <c r="H29" s="7">
        <v>101.4508</v>
      </c>
      <c r="K29" s="5">
        <f t="shared" si="1"/>
        <v>102.55731652734265</v>
      </c>
      <c r="L29">
        <v>121.42</v>
      </c>
      <c r="N29" s="5">
        <v>71.5</v>
      </c>
      <c r="O29" s="5">
        <f t="shared" si="10"/>
        <v>58.886509635974306</v>
      </c>
      <c r="P29" s="5">
        <v>106388.204981075</v>
      </c>
      <c r="Q29" s="5">
        <f t="shared" si="2"/>
        <v>106.38820498107501</v>
      </c>
      <c r="R29">
        <v>68.39545914</v>
      </c>
      <c r="S29" s="5">
        <f t="shared" si="3"/>
        <v>174.78366412107499</v>
      </c>
      <c r="T29" s="5">
        <f t="shared" si="4"/>
        <v>143.94964925142068</v>
      </c>
      <c r="U29">
        <v>79.794567959999995</v>
      </c>
      <c r="V29" s="12">
        <f t="shared" si="5"/>
        <v>65.717812518530721</v>
      </c>
      <c r="W29" s="12"/>
      <c r="X29" s="17">
        <f t="shared" si="13"/>
        <v>7259263218.08636</v>
      </c>
      <c r="Y29" s="17">
        <f t="shared" si="11"/>
        <v>7259.2632180863602</v>
      </c>
      <c r="Z29" s="12">
        <f t="shared" si="7"/>
        <v>1.9829787807221537</v>
      </c>
      <c r="AA29" s="12">
        <f t="shared" si="8"/>
        <v>1.0992102857104404</v>
      </c>
      <c r="AB29" s="12">
        <f t="shared" si="9"/>
        <v>0.90529590323706199</v>
      </c>
    </row>
    <row r="30" spans="2:28" x14ac:dyDescent="0.3">
      <c r="B30">
        <v>2008</v>
      </c>
      <c r="C30">
        <v>4</v>
      </c>
      <c r="D30">
        <v>95.31</v>
      </c>
      <c r="G30" s="5">
        <f t="shared" si="0"/>
        <v>89.462157003848432</v>
      </c>
      <c r="H30" s="7">
        <v>100.75539999999999</v>
      </c>
      <c r="K30" s="5">
        <f t="shared" si="1"/>
        <v>101.85433184991167</v>
      </c>
      <c r="L30">
        <v>123.1</v>
      </c>
      <c r="N30" s="5">
        <v>67.7</v>
      </c>
      <c r="O30" s="5">
        <f t="shared" si="10"/>
        <v>54.995938261575958</v>
      </c>
      <c r="P30" s="5">
        <v>109212.554519866</v>
      </c>
      <c r="Q30" s="5">
        <f t="shared" si="2"/>
        <v>109.212554519866</v>
      </c>
      <c r="R30">
        <v>68.486128959999974</v>
      </c>
      <c r="S30" s="5">
        <f t="shared" si="3"/>
        <v>177.69868347986596</v>
      </c>
      <c r="T30" s="5">
        <f t="shared" si="4"/>
        <v>144.35311411849386</v>
      </c>
      <c r="U30">
        <v>85.074418710000003</v>
      </c>
      <c r="V30" s="12">
        <f t="shared" si="5"/>
        <v>69.110007075548339</v>
      </c>
      <c r="W30" s="12"/>
      <c r="X30" s="17">
        <f t="shared" si="13"/>
        <v>7259263218.08636</v>
      </c>
      <c r="Y30" s="17">
        <f t="shared" si="11"/>
        <v>7259.2632180863602</v>
      </c>
      <c r="Z30" s="12">
        <f t="shared" si="7"/>
        <v>1.9885367120844983</v>
      </c>
      <c r="AA30" s="12">
        <f t="shared" si="8"/>
        <v>1.1719428839284709</v>
      </c>
      <c r="AB30" s="12">
        <f t="shared" si="9"/>
        <v>0.95202508848779099</v>
      </c>
    </row>
    <row r="31" spans="2:28" x14ac:dyDescent="0.3">
      <c r="B31">
        <v>2008</v>
      </c>
      <c r="C31">
        <v>5</v>
      </c>
      <c r="D31">
        <v>93.71</v>
      </c>
      <c r="G31" s="5">
        <f t="shared" si="0"/>
        <v>87.960326648102352</v>
      </c>
      <c r="H31" s="7">
        <v>100.1336</v>
      </c>
      <c r="K31" s="5">
        <f t="shared" si="1"/>
        <v>101.22574992234972</v>
      </c>
      <c r="L31">
        <v>126.53</v>
      </c>
      <c r="N31" s="5">
        <v>73.599999999999994</v>
      </c>
      <c r="O31" s="5">
        <f t="shared" si="10"/>
        <v>58.168023393661571</v>
      </c>
      <c r="P31" s="5">
        <v>99809.329665824596</v>
      </c>
      <c r="Q31" s="5">
        <f t="shared" si="2"/>
        <v>99.809329665824592</v>
      </c>
      <c r="R31">
        <v>50.279349549999999</v>
      </c>
      <c r="S31" s="5">
        <f t="shared" si="3"/>
        <v>150.08867921582458</v>
      </c>
      <c r="T31" s="5">
        <f t="shared" si="4"/>
        <v>118.61904624660127</v>
      </c>
      <c r="U31">
        <v>64.976658329999992</v>
      </c>
      <c r="V31" s="12">
        <f t="shared" si="5"/>
        <v>51.352768774203739</v>
      </c>
      <c r="W31" s="12"/>
      <c r="X31" s="17">
        <f t="shared" si="13"/>
        <v>7259263218.08636</v>
      </c>
      <c r="Y31" s="17">
        <f t="shared" si="11"/>
        <v>7259.2632180863602</v>
      </c>
      <c r="Z31" s="12">
        <f t="shared" si="7"/>
        <v>1.6340369908486505</v>
      </c>
      <c r="AA31" s="12">
        <f t="shared" si="8"/>
        <v>0.89508613171804385</v>
      </c>
      <c r="AB31" s="12">
        <f t="shared" si="9"/>
        <v>0.70741020447170155</v>
      </c>
    </row>
    <row r="32" spans="2:28" x14ac:dyDescent="0.3">
      <c r="B32">
        <v>2008</v>
      </c>
      <c r="C32">
        <v>6</v>
      </c>
      <c r="D32">
        <v>93.15</v>
      </c>
      <c r="G32" s="5">
        <f t="shared" si="0"/>
        <v>87.43468602359124</v>
      </c>
      <c r="H32" s="7">
        <v>99.872799999999998</v>
      </c>
      <c r="K32" s="5">
        <f t="shared" si="1"/>
        <v>100.96210539563992</v>
      </c>
      <c r="L32">
        <v>129.22</v>
      </c>
      <c r="N32" s="5">
        <v>66.8</v>
      </c>
      <c r="O32" s="5">
        <f t="shared" si="10"/>
        <v>51.694784089150282</v>
      </c>
      <c r="P32" s="5">
        <v>118113.206241704</v>
      </c>
      <c r="Q32" s="5">
        <f t="shared" si="2"/>
        <v>118.11320624170401</v>
      </c>
      <c r="R32">
        <v>87.349962640000001</v>
      </c>
      <c r="S32" s="5">
        <f t="shared" si="3"/>
        <v>205.46316888170401</v>
      </c>
      <c r="T32" s="5">
        <f t="shared" si="4"/>
        <v>159.00260709000463</v>
      </c>
      <c r="U32">
        <v>63.343216099999999</v>
      </c>
      <c r="V32" s="12">
        <f t="shared" si="5"/>
        <v>49.019668859309704</v>
      </c>
      <c r="W32" s="12"/>
      <c r="X32" s="17">
        <f t="shared" si="13"/>
        <v>7259263218.08636</v>
      </c>
      <c r="Y32" s="17">
        <f t="shared" si="11"/>
        <v>7259.2632180863602</v>
      </c>
      <c r="Z32" s="12">
        <f t="shared" si="7"/>
        <v>2.1903408419445611</v>
      </c>
      <c r="AA32" s="12">
        <f t="shared" si="8"/>
        <v>0.8725846438820567</v>
      </c>
      <c r="AB32" s="12">
        <f t="shared" si="9"/>
        <v>0.67527058031423681</v>
      </c>
    </row>
    <row r="33" spans="2:28" x14ac:dyDescent="0.3">
      <c r="B33">
        <v>2008</v>
      </c>
      <c r="C33">
        <v>7</v>
      </c>
      <c r="D33">
        <v>93.01</v>
      </c>
      <c r="G33" s="5">
        <f t="shared" si="0"/>
        <v>87.303275867463469</v>
      </c>
      <c r="H33" s="7">
        <v>99.419399999999996</v>
      </c>
      <c r="K33" s="5">
        <f t="shared" si="1"/>
        <v>100.50376019468047</v>
      </c>
      <c r="L33">
        <v>130.84</v>
      </c>
      <c r="N33" s="5">
        <v>66.900000000000006</v>
      </c>
      <c r="O33" s="5">
        <f t="shared" si="10"/>
        <v>51.131152552736168</v>
      </c>
      <c r="P33" s="5">
        <v>113113.144064154</v>
      </c>
      <c r="Q33" s="5">
        <f t="shared" si="2"/>
        <v>113.113144064154</v>
      </c>
      <c r="R33">
        <v>57.917439649999999</v>
      </c>
      <c r="S33" s="5">
        <f t="shared" si="3"/>
        <v>171.03058371415401</v>
      </c>
      <c r="T33" s="5">
        <f t="shared" si="4"/>
        <v>130.71735227312288</v>
      </c>
      <c r="U33">
        <v>72.342925929999993</v>
      </c>
      <c r="V33" s="12">
        <f t="shared" si="5"/>
        <v>55.291138741974919</v>
      </c>
      <c r="W33" s="12"/>
      <c r="X33" s="17">
        <f t="shared" si="13"/>
        <v>7259263218.08636</v>
      </c>
      <c r="Y33" s="17">
        <f t="shared" si="11"/>
        <v>7259.2632180863602</v>
      </c>
      <c r="Z33" s="12">
        <f t="shared" si="7"/>
        <v>1.8006972380811634</v>
      </c>
      <c r="AA33" s="12">
        <f t="shared" si="8"/>
        <v>0.99656017086911153</v>
      </c>
      <c r="AB33" s="12">
        <f t="shared" si="9"/>
        <v>0.76166323056336849</v>
      </c>
    </row>
    <row r="34" spans="2:28" x14ac:dyDescent="0.3">
      <c r="B34">
        <v>2008</v>
      </c>
      <c r="C34">
        <v>8</v>
      </c>
      <c r="D34">
        <v>92.88</v>
      </c>
      <c r="G34" s="5">
        <f t="shared" si="0"/>
        <v>87.181252151059084</v>
      </c>
      <c r="H34" s="7">
        <v>97.849100000000007</v>
      </c>
      <c r="K34" s="5">
        <f t="shared" si="1"/>
        <v>98.916333046320034</v>
      </c>
      <c r="L34">
        <v>131.5</v>
      </c>
      <c r="N34" s="5">
        <v>69.5</v>
      </c>
      <c r="O34" s="5">
        <f t="shared" si="10"/>
        <v>52.851711026615966</v>
      </c>
      <c r="P34" s="5">
        <v>115781.99313346201</v>
      </c>
      <c r="Q34" s="5">
        <f t="shared" si="2"/>
        <v>115.78199313346201</v>
      </c>
      <c r="R34">
        <v>69.221349659999987</v>
      </c>
      <c r="S34" s="5">
        <f t="shared" si="3"/>
        <v>185.003342793462</v>
      </c>
      <c r="T34" s="5">
        <f t="shared" si="4"/>
        <v>140.68695269464791</v>
      </c>
      <c r="U34">
        <v>68.158407760000003</v>
      </c>
      <c r="V34" s="12">
        <f t="shared" si="5"/>
        <v>51.831488790874523</v>
      </c>
      <c r="W34" s="12"/>
      <c r="X34" s="17">
        <f t="shared" si="13"/>
        <v>7259263218.08636</v>
      </c>
      <c r="Y34" s="17">
        <f t="shared" si="11"/>
        <v>7259.2632180863602</v>
      </c>
      <c r="Z34" s="12">
        <f t="shared" si="7"/>
        <v>1.9380334955223584</v>
      </c>
      <c r="AA34" s="12">
        <f t="shared" si="8"/>
        <v>0.93891632955510163</v>
      </c>
      <c r="AB34" s="12">
        <f t="shared" si="9"/>
        <v>0.71400481334988708</v>
      </c>
    </row>
    <row r="35" spans="2:28" x14ac:dyDescent="0.3">
      <c r="B35">
        <v>2008</v>
      </c>
      <c r="C35">
        <v>9</v>
      </c>
      <c r="D35">
        <v>92.56</v>
      </c>
      <c r="G35" s="5">
        <f t="shared" si="0"/>
        <v>86.880886079909885</v>
      </c>
      <c r="H35" s="7">
        <v>93.557599999999994</v>
      </c>
      <c r="K35" s="5">
        <f t="shared" si="1"/>
        <v>94.578025966660803</v>
      </c>
      <c r="L35">
        <v>131.78</v>
      </c>
      <c r="N35" s="5">
        <v>70.8</v>
      </c>
      <c r="O35" s="5">
        <f t="shared" si="10"/>
        <v>53.725906814387614</v>
      </c>
      <c r="P35" s="5">
        <v>114557.03893257301</v>
      </c>
      <c r="Q35" s="5">
        <f t="shared" si="2"/>
        <v>114.55703893257301</v>
      </c>
      <c r="R35">
        <v>54.871968429999995</v>
      </c>
      <c r="S35" s="5">
        <f t="shared" si="3"/>
        <v>169.429007362573</v>
      </c>
      <c r="T35" s="5">
        <f t="shared" si="4"/>
        <v>128.56959126011003</v>
      </c>
      <c r="U35">
        <v>62.077103039999997</v>
      </c>
      <c r="V35" s="12">
        <f t="shared" si="5"/>
        <v>47.106619395962966</v>
      </c>
      <c r="W35" s="12"/>
      <c r="X35" s="17">
        <f t="shared" si="13"/>
        <v>7259263218.08636</v>
      </c>
      <c r="Y35" s="17">
        <f t="shared" si="11"/>
        <v>7259.2632180863602</v>
      </c>
      <c r="Z35" s="12">
        <f t="shared" si="7"/>
        <v>1.7711107504654271</v>
      </c>
      <c r="AA35" s="12">
        <f t="shared" si="8"/>
        <v>0.85514330001611882</v>
      </c>
      <c r="AB35" s="12">
        <f t="shared" si="9"/>
        <v>0.64891736228268226</v>
      </c>
    </row>
    <row r="36" spans="2:28" x14ac:dyDescent="0.3">
      <c r="B36">
        <v>2008</v>
      </c>
      <c r="C36">
        <v>10</v>
      </c>
      <c r="D36">
        <v>92.79</v>
      </c>
      <c r="G36" s="5">
        <f t="shared" si="0"/>
        <v>87.096774193548384</v>
      </c>
      <c r="H36" s="7">
        <v>94.498500000000007</v>
      </c>
      <c r="K36" s="5">
        <f t="shared" si="1"/>
        <v>95.529188294809799</v>
      </c>
      <c r="L36">
        <v>131.75</v>
      </c>
      <c r="N36" s="5">
        <v>67.5</v>
      </c>
      <c r="O36" s="5">
        <f t="shared" si="10"/>
        <v>51.233396584440229</v>
      </c>
      <c r="P36" s="5">
        <v>109172.756253839</v>
      </c>
      <c r="Q36" s="5">
        <f t="shared" si="2"/>
        <v>109.17275625383901</v>
      </c>
      <c r="R36">
        <v>63.088187309999995</v>
      </c>
      <c r="S36" s="5">
        <f t="shared" si="3"/>
        <v>172.26094356383902</v>
      </c>
      <c r="T36" s="5">
        <f t="shared" si="4"/>
        <v>130.7483442609784</v>
      </c>
      <c r="U36">
        <v>55.801501040000005</v>
      </c>
      <c r="V36" s="12">
        <f t="shared" si="5"/>
        <v>42.354080485768506</v>
      </c>
      <c r="W36" s="12"/>
      <c r="X36" s="17">
        <f t="shared" si="13"/>
        <v>7259263218.08636</v>
      </c>
      <c r="Y36" s="17">
        <f t="shared" si="11"/>
        <v>7259.2632180863602</v>
      </c>
      <c r="Z36" s="12">
        <f t="shared" si="7"/>
        <v>1.8011241682932864</v>
      </c>
      <c r="AA36" s="12">
        <f t="shared" si="8"/>
        <v>0.76869372777351963</v>
      </c>
      <c r="AB36" s="12">
        <f t="shared" si="9"/>
        <v>0.58344874973322169</v>
      </c>
    </row>
    <row r="37" spans="2:28" x14ac:dyDescent="0.3">
      <c r="B37">
        <v>2008</v>
      </c>
      <c r="C37">
        <v>11</v>
      </c>
      <c r="D37">
        <v>91.46</v>
      </c>
      <c r="G37" s="5">
        <f t="shared" si="0"/>
        <v>85.848377710334447</v>
      </c>
      <c r="H37" s="7">
        <v>93.261700000000005</v>
      </c>
      <c r="K37" s="5">
        <f t="shared" si="1"/>
        <v>94.278898606793362</v>
      </c>
      <c r="L37">
        <v>131.86000000000001</v>
      </c>
      <c r="N37" s="5">
        <v>66.099999999999994</v>
      </c>
      <c r="O37" s="5">
        <f t="shared" si="10"/>
        <v>50.128924617018043</v>
      </c>
      <c r="P37" s="5">
        <v>103783.469057722</v>
      </c>
      <c r="Q37" s="5">
        <f t="shared" si="2"/>
        <v>103.783469057722</v>
      </c>
      <c r="R37">
        <v>51.222841770000002</v>
      </c>
      <c r="S37" s="5">
        <f t="shared" si="3"/>
        <v>155.00631082772202</v>
      </c>
      <c r="T37" s="5">
        <f t="shared" si="4"/>
        <v>117.55370152261642</v>
      </c>
      <c r="U37">
        <v>32.100773510000003</v>
      </c>
      <c r="V37" s="12">
        <f t="shared" si="5"/>
        <v>24.344587827999391</v>
      </c>
      <c r="W37" s="12"/>
      <c r="X37" s="17">
        <f t="shared" si="13"/>
        <v>7259263218.08636</v>
      </c>
      <c r="Y37" s="17">
        <f t="shared" si="11"/>
        <v>7259.2632180863602</v>
      </c>
      <c r="Z37" s="12">
        <f t="shared" si="7"/>
        <v>1.6193613317358833</v>
      </c>
      <c r="AA37" s="12">
        <f t="shared" si="8"/>
        <v>0.4422042918904131</v>
      </c>
      <c r="AB37" s="12">
        <f t="shared" si="9"/>
        <v>0.33535893515123083</v>
      </c>
    </row>
    <row r="38" spans="2:28" x14ac:dyDescent="0.3">
      <c r="B38">
        <v>2008</v>
      </c>
      <c r="C38">
        <v>12</v>
      </c>
      <c r="D38">
        <v>91.22</v>
      </c>
      <c r="G38" s="5">
        <f t="shared" si="0"/>
        <v>85.623103156972547</v>
      </c>
      <c r="H38" s="7">
        <v>90.626599999999996</v>
      </c>
      <c r="K38" s="5">
        <f t="shared" si="1"/>
        <v>91.615057761958212</v>
      </c>
      <c r="L38">
        <v>131.55000000000001</v>
      </c>
      <c r="N38" s="5">
        <v>73.5</v>
      </c>
      <c r="O38" s="5">
        <f t="shared" si="10"/>
        <v>55.872291904218919</v>
      </c>
      <c r="P38" s="5">
        <v>85050.714584429297</v>
      </c>
      <c r="Q38" s="5">
        <f t="shared" si="2"/>
        <v>85.050714584429301</v>
      </c>
      <c r="R38">
        <v>46.66072745000001</v>
      </c>
      <c r="S38" s="5">
        <f t="shared" si="3"/>
        <v>131.7114420344293</v>
      </c>
      <c r="T38" s="5">
        <f t="shared" si="4"/>
        <v>100.12272294521421</v>
      </c>
      <c r="U38">
        <v>45.020233679999997</v>
      </c>
      <c r="V38" s="12">
        <f t="shared" si="5"/>
        <v>34.222906636259971</v>
      </c>
      <c r="W38" s="12"/>
      <c r="X38" s="17">
        <f t="shared" si="13"/>
        <v>7259263218.08636</v>
      </c>
      <c r="Y38" s="17">
        <f t="shared" si="11"/>
        <v>7259.2632180863602</v>
      </c>
      <c r="Z38" s="12">
        <f t="shared" si="7"/>
        <v>1.3792408394251325</v>
      </c>
      <c r="AA38" s="12">
        <f t="shared" si="8"/>
        <v>0.62017635023665585</v>
      </c>
      <c r="AB38" s="12">
        <f t="shared" si="9"/>
        <v>0.47143774248320469</v>
      </c>
    </row>
    <row r="39" spans="2:28" s="9" customFormat="1" x14ac:dyDescent="0.3">
      <c r="B39" s="9">
        <v>2009</v>
      </c>
      <c r="C39" s="9">
        <v>1</v>
      </c>
      <c r="D39" s="9">
        <v>91.95</v>
      </c>
      <c r="G39" s="9">
        <f t="shared" si="0"/>
        <v>86.308313256781688</v>
      </c>
      <c r="H39" s="10">
        <v>88.371200000000002</v>
      </c>
      <c r="K39" s="9">
        <f t="shared" si="1"/>
        <v>89.335058277520758</v>
      </c>
      <c r="L39" s="9">
        <v>131.63</v>
      </c>
      <c r="M39" s="9">
        <f>AVERAGE(L39:L50)</f>
        <v>131.86416666666665</v>
      </c>
      <c r="N39" s="9">
        <v>62.7</v>
      </c>
      <c r="O39" s="9">
        <f t="shared" si="10"/>
        <v>47.633518194940365</v>
      </c>
      <c r="P39" s="9">
        <v>90650.575978774694</v>
      </c>
      <c r="Q39" s="9">
        <f t="shared" si="2"/>
        <v>90.650575978774697</v>
      </c>
      <c r="R39" s="9">
        <v>47.765244590000002</v>
      </c>
      <c r="S39" s="9">
        <f t="shared" si="3"/>
        <v>138.41582056877471</v>
      </c>
      <c r="T39" s="9">
        <f t="shared" si="4"/>
        <v>105.15522340558741</v>
      </c>
      <c r="U39" s="9">
        <v>47.440130549999999</v>
      </c>
      <c r="V39" s="13">
        <f t="shared" si="5"/>
        <v>36.040515497986782</v>
      </c>
      <c r="W39" s="13">
        <v>8298702489.0801048</v>
      </c>
      <c r="X39" s="15">
        <f t="shared" ref="X39:X50" si="14">($W$39/$L$39)*100</f>
        <v>6304567719.4257421</v>
      </c>
      <c r="Y39" s="15">
        <f t="shared" si="11"/>
        <v>6304.5677194257423</v>
      </c>
      <c r="Z39" s="13">
        <f t="shared" si="7"/>
        <v>1.6679212292633694</v>
      </c>
      <c r="AA39" s="13">
        <f t="shared" si="8"/>
        <v>0.75247237655686772</v>
      </c>
      <c r="AB39" s="13">
        <f t="shared" si="9"/>
        <v>0.57165720318838242</v>
      </c>
    </row>
    <row r="40" spans="2:28" x14ac:dyDescent="0.3">
      <c r="B40">
        <v>2009</v>
      </c>
      <c r="C40">
        <v>2</v>
      </c>
      <c r="D40">
        <v>92.14</v>
      </c>
      <c r="G40" s="5">
        <f t="shared" si="0"/>
        <v>86.486655611526544</v>
      </c>
      <c r="H40" s="7">
        <v>87.843000000000004</v>
      </c>
      <c r="K40" s="5">
        <f t="shared" si="1"/>
        <v>88.801097238379199</v>
      </c>
      <c r="L40">
        <v>132.38999999999999</v>
      </c>
      <c r="N40" s="5">
        <v>62.8</v>
      </c>
      <c r="O40" s="5">
        <f t="shared" si="10"/>
        <v>47.435606918951585</v>
      </c>
      <c r="P40" s="5">
        <v>96846.087165373494</v>
      </c>
      <c r="Q40" s="5">
        <f t="shared" si="2"/>
        <v>96.84608716537349</v>
      </c>
      <c r="R40">
        <v>64.527387439999998</v>
      </c>
      <c r="S40" s="5">
        <f t="shared" si="3"/>
        <v>161.37347460537347</v>
      </c>
      <c r="T40" s="5">
        <f t="shared" si="4"/>
        <v>121.89249535869287</v>
      </c>
      <c r="U40">
        <v>52.583670720000001</v>
      </c>
      <c r="V40" s="12">
        <f t="shared" si="5"/>
        <v>39.718763290278723</v>
      </c>
      <c r="W40" s="12"/>
      <c r="X40" s="17">
        <f t="shared" si="14"/>
        <v>6304567719.4257421</v>
      </c>
      <c r="Y40" s="17">
        <f t="shared" si="11"/>
        <v>6304.5677194257423</v>
      </c>
      <c r="Z40" s="12">
        <f t="shared" si="7"/>
        <v>1.9333997314854059</v>
      </c>
      <c r="AA40" s="12">
        <f t="shared" si="8"/>
        <v>0.83405671982836016</v>
      </c>
      <c r="AB40" s="12">
        <f t="shared" si="9"/>
        <v>0.62999978837401638</v>
      </c>
    </row>
    <row r="41" spans="2:28" x14ac:dyDescent="0.3">
      <c r="B41">
        <v>2009</v>
      </c>
      <c r="C41">
        <v>3</v>
      </c>
      <c r="D41">
        <v>92.68</v>
      </c>
      <c r="G41" s="5">
        <f t="shared" si="0"/>
        <v>86.993523356590842</v>
      </c>
      <c r="H41" s="7">
        <v>86.468900000000005</v>
      </c>
      <c r="K41" s="5">
        <f t="shared" si="1"/>
        <v>87.41201002920765</v>
      </c>
      <c r="L41">
        <v>131.69</v>
      </c>
      <c r="N41" s="5">
        <v>70.400000000000006</v>
      </c>
      <c r="O41" s="5">
        <f t="shared" si="10"/>
        <v>53.458880704685249</v>
      </c>
      <c r="P41" s="5">
        <v>96863.362289045399</v>
      </c>
      <c r="Q41" s="5">
        <f t="shared" si="2"/>
        <v>96.863362289045398</v>
      </c>
      <c r="R41">
        <v>76.042970029999978</v>
      </c>
      <c r="S41" s="5">
        <f t="shared" si="3"/>
        <v>172.90633231904536</v>
      </c>
      <c r="T41" s="5">
        <f t="shared" si="4"/>
        <v>131.29799705296176</v>
      </c>
      <c r="U41">
        <v>68.57957322</v>
      </c>
      <c r="V41" s="12">
        <f t="shared" si="5"/>
        <v>52.076523061735891</v>
      </c>
      <c r="W41" s="12"/>
      <c r="X41" s="17">
        <f t="shared" si="14"/>
        <v>6304567719.4257421</v>
      </c>
      <c r="Y41" s="17">
        <f t="shared" si="11"/>
        <v>6304.5677194257423</v>
      </c>
      <c r="Z41" s="12">
        <f t="shared" si="7"/>
        <v>2.0825852444792385</v>
      </c>
      <c r="AA41" s="12">
        <f t="shared" si="8"/>
        <v>1.087775978814399</v>
      </c>
      <c r="AB41" s="12">
        <f t="shared" si="9"/>
        <v>0.82601258927359611</v>
      </c>
    </row>
    <row r="42" spans="2:28" x14ac:dyDescent="0.3">
      <c r="B42">
        <v>2009</v>
      </c>
      <c r="C42">
        <v>4</v>
      </c>
      <c r="D42">
        <v>92.75</v>
      </c>
      <c r="G42" s="5">
        <f t="shared" si="0"/>
        <v>87.059228434654727</v>
      </c>
      <c r="H42" s="7">
        <v>85.790300000000002</v>
      </c>
      <c r="K42" s="5">
        <f t="shared" si="1"/>
        <v>86.726008588159814</v>
      </c>
      <c r="L42">
        <v>131.57</v>
      </c>
      <c r="N42" s="5">
        <v>62.5</v>
      </c>
      <c r="O42" s="5">
        <f t="shared" si="10"/>
        <v>47.503230219654938</v>
      </c>
      <c r="P42" s="5">
        <v>90272.420295900694</v>
      </c>
      <c r="Q42" s="5">
        <f t="shared" si="2"/>
        <v>90.272420295900687</v>
      </c>
      <c r="R42">
        <v>54.346104620000006</v>
      </c>
      <c r="S42" s="5">
        <f t="shared" si="3"/>
        <v>144.61852491590071</v>
      </c>
      <c r="T42" s="5">
        <f t="shared" si="4"/>
        <v>109.91755332971096</v>
      </c>
      <c r="U42">
        <v>60.684913509999994</v>
      </c>
      <c r="V42" s="12">
        <f t="shared" si="5"/>
        <v>46.12367067720605</v>
      </c>
      <c r="W42" s="12"/>
      <c r="X42" s="17">
        <f t="shared" si="14"/>
        <v>6304567719.4257421</v>
      </c>
      <c r="Y42" s="17">
        <f t="shared" si="11"/>
        <v>6304.5677194257423</v>
      </c>
      <c r="Z42" s="12">
        <f t="shared" si="7"/>
        <v>1.7434590002266308</v>
      </c>
      <c r="AA42" s="12">
        <f t="shared" si="8"/>
        <v>0.96255470970700496</v>
      </c>
      <c r="AB42" s="12">
        <f t="shared" si="9"/>
        <v>0.73159132758759982</v>
      </c>
    </row>
    <row r="43" spans="2:28" x14ac:dyDescent="0.3">
      <c r="B43">
        <v>2009</v>
      </c>
      <c r="C43">
        <v>5</v>
      </c>
      <c r="D43">
        <v>93.52</v>
      </c>
      <c r="G43" s="5">
        <f t="shared" si="0"/>
        <v>87.78198429335751</v>
      </c>
      <c r="H43" s="7">
        <v>84.943600000000004</v>
      </c>
      <c r="K43" s="5">
        <f t="shared" si="1"/>
        <v>85.870073692587766</v>
      </c>
      <c r="L43">
        <v>131.71</v>
      </c>
      <c r="N43" s="5">
        <v>66.2</v>
      </c>
      <c r="O43" s="5">
        <f t="shared" si="10"/>
        <v>50.261939108647788</v>
      </c>
      <c r="P43" s="5">
        <v>87207.478937507898</v>
      </c>
      <c r="Q43" s="5">
        <f t="shared" si="2"/>
        <v>87.207478937507901</v>
      </c>
      <c r="R43">
        <v>56.441733460000002</v>
      </c>
      <c r="S43" s="5">
        <f t="shared" si="3"/>
        <v>143.64921239750791</v>
      </c>
      <c r="T43" s="5">
        <f t="shared" si="4"/>
        <v>109.06477290828936</v>
      </c>
      <c r="U43">
        <v>64.82592867999999</v>
      </c>
      <c r="V43" s="12">
        <f t="shared" si="5"/>
        <v>49.218683987548388</v>
      </c>
      <c r="W43" s="12"/>
      <c r="X43" s="17">
        <f t="shared" si="14"/>
        <v>6304567719.4257421</v>
      </c>
      <c r="Y43" s="17">
        <f t="shared" si="11"/>
        <v>6304.5677194257423</v>
      </c>
      <c r="Z43" s="12">
        <f t="shared" si="7"/>
        <v>1.7299326101651205</v>
      </c>
      <c r="AA43" s="12">
        <f t="shared" si="8"/>
        <v>1.0282374869296307</v>
      </c>
      <c r="AB43" s="12">
        <f t="shared" si="9"/>
        <v>0.7806829298683704</v>
      </c>
    </row>
    <row r="44" spans="2:28" x14ac:dyDescent="0.3">
      <c r="B44">
        <v>2009</v>
      </c>
      <c r="C44">
        <v>6</v>
      </c>
      <c r="D44">
        <v>94.78</v>
      </c>
      <c r="G44" s="5">
        <f t="shared" si="0"/>
        <v>88.964675698507548</v>
      </c>
      <c r="H44" s="7">
        <v>84.674599999999998</v>
      </c>
      <c r="K44" s="5">
        <f t="shared" si="1"/>
        <v>85.598139729071903</v>
      </c>
      <c r="L44">
        <v>131.75</v>
      </c>
      <c r="N44" s="5">
        <v>62.1</v>
      </c>
      <c r="O44" s="5">
        <f t="shared" si="10"/>
        <v>47.134724857685015</v>
      </c>
      <c r="P44" s="5">
        <v>89987.919797537994</v>
      </c>
      <c r="Q44" s="5">
        <f t="shared" si="2"/>
        <v>89.987919797537998</v>
      </c>
      <c r="R44">
        <v>65.209511329999984</v>
      </c>
      <c r="S44" s="5">
        <f t="shared" si="3"/>
        <v>155.19743112753798</v>
      </c>
      <c r="T44" s="5">
        <f t="shared" si="4"/>
        <v>117.79691167175559</v>
      </c>
      <c r="U44">
        <v>64.452451109999998</v>
      </c>
      <c r="V44" s="12">
        <f t="shared" si="5"/>
        <v>48.920266497153698</v>
      </c>
      <c r="W44" s="12"/>
      <c r="X44" s="17">
        <f t="shared" si="14"/>
        <v>6304567719.4257421</v>
      </c>
      <c r="Y44" s="17">
        <f t="shared" si="11"/>
        <v>6304.5677194257423</v>
      </c>
      <c r="Z44" s="12">
        <f t="shared" si="7"/>
        <v>1.8684375664456379</v>
      </c>
      <c r="AA44" s="12">
        <f t="shared" si="8"/>
        <v>1.0223135665813852</v>
      </c>
      <c r="AB44" s="12">
        <f t="shared" si="9"/>
        <v>0.77594957615285398</v>
      </c>
    </row>
    <row r="45" spans="2:28" x14ac:dyDescent="0.3">
      <c r="B45">
        <v>2009</v>
      </c>
      <c r="C45">
        <v>7</v>
      </c>
      <c r="D45">
        <v>95.8</v>
      </c>
      <c r="G45" s="5">
        <f t="shared" si="0"/>
        <v>89.922092550295659</v>
      </c>
      <c r="H45" s="7">
        <v>85.685299999999998</v>
      </c>
      <c r="K45" s="5">
        <f t="shared" si="1"/>
        <v>86.619863360765152</v>
      </c>
      <c r="L45">
        <v>130.94</v>
      </c>
      <c r="N45" s="5">
        <v>61.3</v>
      </c>
      <c r="O45" s="5">
        <f t="shared" si="10"/>
        <v>46.815335268061709</v>
      </c>
      <c r="P45" s="5">
        <v>105413.335393987</v>
      </c>
      <c r="Q45" s="5">
        <f t="shared" si="2"/>
        <v>105.413335393987</v>
      </c>
      <c r="R45">
        <v>64.607918670000004</v>
      </c>
      <c r="S45" s="5">
        <f t="shared" si="3"/>
        <v>170.02125406398699</v>
      </c>
      <c r="T45" s="5">
        <f t="shared" si="4"/>
        <v>129.84668860851306</v>
      </c>
      <c r="U45">
        <v>55.621376930000004</v>
      </c>
      <c r="V45" s="12">
        <f t="shared" si="5"/>
        <v>42.478522170459755</v>
      </c>
      <c r="W45" s="12"/>
      <c r="X45" s="17">
        <f t="shared" si="14"/>
        <v>6304567719.4257421</v>
      </c>
      <c r="Y45" s="17">
        <f t="shared" si="11"/>
        <v>6304.5677194257423</v>
      </c>
      <c r="Z45" s="12">
        <f t="shared" si="7"/>
        <v>2.0595652927706243</v>
      </c>
      <c r="AA45" s="12">
        <f t="shared" si="8"/>
        <v>0.88223934463608766</v>
      </c>
      <c r="AB45" s="12">
        <f t="shared" si="9"/>
        <v>0.67377374724002415</v>
      </c>
    </row>
    <row r="46" spans="2:28" x14ac:dyDescent="0.3">
      <c r="B46">
        <v>2009</v>
      </c>
      <c r="C46">
        <v>8</v>
      </c>
      <c r="D46">
        <v>96.41</v>
      </c>
      <c r="G46" s="5">
        <f t="shared" si="0"/>
        <v>90.494665373423842</v>
      </c>
      <c r="H46" s="7">
        <v>86.639300000000006</v>
      </c>
      <c r="K46" s="5">
        <f t="shared" si="1"/>
        <v>87.584268569665284</v>
      </c>
      <c r="L46">
        <v>131.34</v>
      </c>
      <c r="N46" s="5">
        <v>60.7</v>
      </c>
      <c r="O46" s="5">
        <f t="shared" si="10"/>
        <v>46.215928125475862</v>
      </c>
      <c r="P46" s="5">
        <v>121773.313932591</v>
      </c>
      <c r="Q46" s="5">
        <f t="shared" si="2"/>
        <v>121.77331393259099</v>
      </c>
      <c r="R46">
        <v>63.601974819999988</v>
      </c>
      <c r="S46" s="5">
        <f t="shared" si="3"/>
        <v>185.37528875259099</v>
      </c>
      <c r="T46" s="5">
        <f t="shared" si="4"/>
        <v>141.14153247494366</v>
      </c>
      <c r="U46">
        <v>56.787360020000001</v>
      </c>
      <c r="V46" s="12">
        <f t="shared" si="5"/>
        <v>43.236911847114364</v>
      </c>
      <c r="W46" s="12"/>
      <c r="X46" s="17">
        <f t="shared" si="14"/>
        <v>6304567719.4257421</v>
      </c>
      <c r="Y46" s="17">
        <f t="shared" si="11"/>
        <v>6304.5677194257423</v>
      </c>
      <c r="Z46" s="12">
        <f t="shared" si="7"/>
        <v>2.238718636331813</v>
      </c>
      <c r="AA46" s="12">
        <f t="shared" si="8"/>
        <v>0.90073360374932299</v>
      </c>
      <c r="AB46" s="12">
        <f t="shared" si="9"/>
        <v>0.68580295701943295</v>
      </c>
    </row>
    <row r="47" spans="2:28" x14ac:dyDescent="0.3">
      <c r="B47">
        <v>2009</v>
      </c>
      <c r="C47">
        <v>9</v>
      </c>
      <c r="D47">
        <v>96.65</v>
      </c>
      <c r="G47" s="5">
        <f t="shared" si="0"/>
        <v>90.71993992678577</v>
      </c>
      <c r="H47" s="7">
        <v>87.382099999999994</v>
      </c>
      <c r="K47" s="5">
        <f t="shared" si="1"/>
        <v>88.335170235462982</v>
      </c>
      <c r="L47">
        <v>131.79</v>
      </c>
      <c r="N47" s="5">
        <v>62.2</v>
      </c>
      <c r="O47" s="5">
        <f t="shared" si="10"/>
        <v>47.196297139388427</v>
      </c>
      <c r="P47" s="5">
        <v>126153.316212598</v>
      </c>
      <c r="Q47" s="5">
        <f t="shared" si="2"/>
        <v>126.153316212598</v>
      </c>
      <c r="R47">
        <v>73.817817660000003</v>
      </c>
      <c r="S47" s="5">
        <f t="shared" si="3"/>
        <v>199.97113387259799</v>
      </c>
      <c r="T47" s="5">
        <f t="shared" si="4"/>
        <v>151.73467931754914</v>
      </c>
      <c r="U47">
        <v>58.947425879999997</v>
      </c>
      <c r="V47" s="12">
        <f t="shared" si="5"/>
        <v>44.728299476439794</v>
      </c>
      <c r="W47" s="12"/>
      <c r="X47" s="17">
        <f t="shared" si="14"/>
        <v>6304567719.4257421</v>
      </c>
      <c r="Y47" s="17">
        <f t="shared" si="11"/>
        <v>6304.5677194257423</v>
      </c>
      <c r="Z47" s="12">
        <f t="shared" si="7"/>
        <v>2.4067420015177512</v>
      </c>
      <c r="AA47" s="12">
        <f t="shared" si="8"/>
        <v>0.93499552234755401</v>
      </c>
      <c r="AB47" s="12">
        <f t="shared" si="9"/>
        <v>0.70945862534908122</v>
      </c>
    </row>
    <row r="48" spans="2:28" x14ac:dyDescent="0.3">
      <c r="B48">
        <v>2009</v>
      </c>
      <c r="C48">
        <v>10</v>
      </c>
      <c r="D48">
        <v>96.94</v>
      </c>
      <c r="G48" s="5">
        <f t="shared" si="0"/>
        <v>90.992146678764726</v>
      </c>
      <c r="H48" s="7">
        <v>87.5809</v>
      </c>
      <c r="K48" s="5">
        <f t="shared" si="1"/>
        <v>88.536138532663557</v>
      </c>
      <c r="L48">
        <v>132.31</v>
      </c>
      <c r="N48" s="5">
        <v>64.400000000000006</v>
      </c>
      <c r="O48" s="5">
        <f t="shared" si="10"/>
        <v>48.673569647041042</v>
      </c>
      <c r="P48" s="5">
        <v>119465.9274901</v>
      </c>
      <c r="Q48" s="5">
        <f t="shared" si="2"/>
        <v>119.4659274901</v>
      </c>
      <c r="R48">
        <v>61.637009669999991</v>
      </c>
      <c r="S48" s="5">
        <f t="shared" si="3"/>
        <v>181.1029371601</v>
      </c>
      <c r="T48" s="5">
        <f t="shared" si="4"/>
        <v>136.87773952089788</v>
      </c>
      <c r="U48">
        <v>44.272865320000008</v>
      </c>
      <c r="V48" s="12">
        <f t="shared" si="5"/>
        <v>33.461465739551059</v>
      </c>
      <c r="W48" s="12"/>
      <c r="X48" s="17">
        <f t="shared" si="14"/>
        <v>6304567719.4257421</v>
      </c>
      <c r="Y48" s="17">
        <f t="shared" si="11"/>
        <v>6304.5677194257423</v>
      </c>
      <c r="Z48" s="12">
        <f t="shared" si="7"/>
        <v>2.1710884173572733</v>
      </c>
      <c r="AA48" s="12">
        <f t="shared" si="8"/>
        <v>0.70223474931652641</v>
      </c>
      <c r="AB48" s="12">
        <f t="shared" si="9"/>
        <v>0.53074956489798686</v>
      </c>
    </row>
    <row r="49" spans="2:28" x14ac:dyDescent="0.3">
      <c r="B49">
        <v>2009</v>
      </c>
      <c r="C49">
        <v>11</v>
      </c>
      <c r="D49">
        <v>97.46</v>
      </c>
      <c r="G49" s="5">
        <f t="shared" si="0"/>
        <v>91.480241544382196</v>
      </c>
      <c r="H49" s="7">
        <v>87.938800000000001</v>
      </c>
      <c r="K49" s="5">
        <f t="shared" si="1"/>
        <v>88.897942122040234</v>
      </c>
      <c r="L49">
        <v>132.47</v>
      </c>
      <c r="N49" s="5">
        <v>61.9</v>
      </c>
      <c r="O49" s="5">
        <f t="shared" si="10"/>
        <v>46.727560957197852</v>
      </c>
      <c r="P49" s="5">
        <v>113186.900892687</v>
      </c>
      <c r="Q49" s="5">
        <f t="shared" si="2"/>
        <v>113.18690089268701</v>
      </c>
      <c r="R49">
        <v>62.70724074000001</v>
      </c>
      <c r="S49" s="5">
        <f t="shared" si="3"/>
        <v>175.89414163268702</v>
      </c>
      <c r="T49" s="5">
        <f t="shared" si="4"/>
        <v>132.78035904935987</v>
      </c>
      <c r="U49">
        <v>34.258738510000001</v>
      </c>
      <c r="V49" s="12">
        <f t="shared" si="5"/>
        <v>25.861507141239525</v>
      </c>
      <c r="W49" s="12"/>
      <c r="X49" s="17">
        <f t="shared" si="14"/>
        <v>6304567719.4257421</v>
      </c>
      <c r="Y49" s="17">
        <f t="shared" si="11"/>
        <v>6304.5677194257423</v>
      </c>
      <c r="Z49" s="12">
        <f t="shared" si="7"/>
        <v>2.1060977525903124</v>
      </c>
      <c r="AA49" s="12">
        <f t="shared" si="8"/>
        <v>0.54339551948092157</v>
      </c>
      <c r="AB49" s="12">
        <f t="shared" si="9"/>
        <v>0.41020270210683285</v>
      </c>
    </row>
    <row r="50" spans="2:28" x14ac:dyDescent="0.3">
      <c r="B50">
        <v>2009</v>
      </c>
      <c r="C50">
        <v>12</v>
      </c>
      <c r="D50">
        <v>97.55</v>
      </c>
      <c r="G50" s="5">
        <f t="shared" si="0"/>
        <v>91.564719501892924</v>
      </c>
      <c r="H50" s="7">
        <v>88.240399999999994</v>
      </c>
      <c r="K50" s="5">
        <f t="shared" si="1"/>
        <v>89.202831651394817</v>
      </c>
      <c r="L50">
        <v>132.78</v>
      </c>
      <c r="N50" s="5">
        <v>71.2</v>
      </c>
      <c r="O50" s="5">
        <f t="shared" si="10"/>
        <v>53.62253351408345</v>
      </c>
      <c r="P50" s="5">
        <v>94087.4148972072</v>
      </c>
      <c r="Q50" s="5">
        <f t="shared" si="2"/>
        <v>94.087414897207196</v>
      </c>
      <c r="R50">
        <v>65.370690039999999</v>
      </c>
      <c r="S50" s="5">
        <f t="shared" si="3"/>
        <v>159.4581049372072</v>
      </c>
      <c r="T50" s="5">
        <f t="shared" si="4"/>
        <v>120.09196033830938</v>
      </c>
      <c r="U50">
        <v>42.176851989999989</v>
      </c>
      <c r="V50" s="12">
        <f t="shared" si="5"/>
        <v>31.764461507757186</v>
      </c>
      <c r="W50" s="12"/>
      <c r="X50" s="17">
        <f t="shared" si="14"/>
        <v>6304567719.4257421</v>
      </c>
      <c r="Y50" s="17">
        <f t="shared" si="11"/>
        <v>6304.5677194257423</v>
      </c>
      <c r="Z50" s="12">
        <f t="shared" si="7"/>
        <v>1.9048405169521769</v>
      </c>
      <c r="AA50" s="12">
        <f t="shared" si="8"/>
        <v>0.66898880092990276</v>
      </c>
      <c r="AB50" s="12">
        <f t="shared" si="9"/>
        <v>0.50383250559564896</v>
      </c>
    </row>
    <row r="51" spans="2:28" s="9" customFormat="1" x14ac:dyDescent="0.3">
      <c r="B51" s="9">
        <v>2010</v>
      </c>
      <c r="C51" s="9">
        <v>1</v>
      </c>
      <c r="D51" s="9">
        <v>97.31</v>
      </c>
      <c r="G51" s="9">
        <f t="shared" si="0"/>
        <v>91.33944494853101</v>
      </c>
      <c r="H51" s="10">
        <v>89.189700000000002</v>
      </c>
      <c r="K51" s="9">
        <f t="shared" si="1"/>
        <v>90.162485597735383</v>
      </c>
      <c r="L51" s="9">
        <v>134.07</v>
      </c>
      <c r="M51" s="9">
        <f>AVERAGE(L51:L62)</f>
        <v>139.05749999999998</v>
      </c>
      <c r="N51" s="9">
        <v>60.7</v>
      </c>
      <c r="O51" s="9">
        <f t="shared" si="10"/>
        <v>45.274856418288955</v>
      </c>
      <c r="P51" s="9">
        <v>106417.47110782401</v>
      </c>
      <c r="Q51" s="9">
        <f t="shared" si="2"/>
        <v>106.41747110782401</v>
      </c>
      <c r="R51" s="9">
        <v>62.599971770000003</v>
      </c>
      <c r="S51" s="9">
        <f t="shared" si="3"/>
        <v>169.01744287782401</v>
      </c>
      <c r="T51" s="9">
        <f t="shared" si="4"/>
        <v>126.06656439011263</v>
      </c>
      <c r="U51" s="9">
        <v>62.765191890000004</v>
      </c>
      <c r="V51" s="13">
        <f t="shared" si="5"/>
        <v>46.81523971805774</v>
      </c>
      <c r="W51" s="13">
        <v>8758602232.9835815</v>
      </c>
      <c r="X51" s="15">
        <f t="shared" ref="X51:X62" si="15">($W$51/$L$51)*100</f>
        <v>6532857636.2971449</v>
      </c>
      <c r="Y51" s="15">
        <f t="shared" si="11"/>
        <v>6532.8576362971453</v>
      </c>
      <c r="Z51" s="13">
        <f t="shared" si="7"/>
        <v>1.9297307764625917</v>
      </c>
      <c r="AA51" s="13">
        <f t="shared" si="8"/>
        <v>0.96076166639956984</v>
      </c>
      <c r="AB51" s="13">
        <f t="shared" si="9"/>
        <v>0.71661196867276045</v>
      </c>
    </row>
    <row r="52" spans="2:28" x14ac:dyDescent="0.3">
      <c r="B52">
        <v>2010</v>
      </c>
      <c r="C52">
        <v>2</v>
      </c>
      <c r="D52">
        <v>96.37</v>
      </c>
      <c r="G52" s="5">
        <f t="shared" si="0"/>
        <v>90.4571196145302</v>
      </c>
      <c r="H52" s="7">
        <v>89.504599999999996</v>
      </c>
      <c r="K52" s="5">
        <f t="shared" si="1"/>
        <v>90.48082018922662</v>
      </c>
      <c r="L52">
        <v>136.02000000000001</v>
      </c>
      <c r="N52" s="5">
        <v>64.099999999999994</v>
      </c>
      <c r="O52" s="5">
        <f t="shared" si="10"/>
        <v>47.125422731951176</v>
      </c>
      <c r="P52" s="5">
        <v>98722.437125766999</v>
      </c>
      <c r="Q52" s="5">
        <f t="shared" si="2"/>
        <v>98.722437125767001</v>
      </c>
      <c r="R52">
        <v>65.594593880000005</v>
      </c>
      <c r="S52" s="5">
        <f t="shared" si="3"/>
        <v>164.31703100576701</v>
      </c>
      <c r="T52" s="5">
        <f t="shared" si="4"/>
        <v>120.80358109525584</v>
      </c>
      <c r="U52">
        <v>76.73916122</v>
      </c>
      <c r="V52" s="12">
        <f t="shared" si="5"/>
        <v>56.417557138656072</v>
      </c>
      <c r="W52" s="12"/>
      <c r="X52" s="17">
        <f t="shared" si="15"/>
        <v>6532857636.2971449</v>
      </c>
      <c r="Y52" s="17">
        <f t="shared" si="11"/>
        <v>6532.8576362971453</v>
      </c>
      <c r="Z52" s="12">
        <f t="shared" si="7"/>
        <v>1.8491690439427344</v>
      </c>
      <c r="AA52" s="12">
        <f t="shared" si="8"/>
        <v>1.1746645264949644</v>
      </c>
      <c r="AB52" s="12">
        <f t="shared" si="9"/>
        <v>0.86359691699379826</v>
      </c>
    </row>
    <row r="53" spans="2:28" x14ac:dyDescent="0.3">
      <c r="B53">
        <v>2010</v>
      </c>
      <c r="C53">
        <v>3</v>
      </c>
      <c r="D53">
        <v>95.73</v>
      </c>
      <c r="G53" s="5">
        <f t="shared" si="0"/>
        <v>89.856387472231773</v>
      </c>
      <c r="H53" s="7">
        <v>90.135599999999997</v>
      </c>
      <c r="K53" s="5">
        <f t="shared" si="1"/>
        <v>91.118702460522201</v>
      </c>
      <c r="L53">
        <v>137.52000000000001</v>
      </c>
      <c r="N53" s="5">
        <v>77</v>
      </c>
      <c r="O53" s="5">
        <f t="shared" si="10"/>
        <v>55.991855730075621</v>
      </c>
      <c r="P53" s="5">
        <v>136382.66464900901</v>
      </c>
      <c r="Q53" s="5">
        <f t="shared" si="2"/>
        <v>136.382664649009</v>
      </c>
      <c r="R53">
        <v>113.71542033999995</v>
      </c>
      <c r="S53" s="5">
        <f t="shared" si="3"/>
        <v>250.09808498900895</v>
      </c>
      <c r="T53" s="5">
        <f t="shared" si="4"/>
        <v>181.86306354639973</v>
      </c>
      <c r="U53">
        <v>100.24719182999999</v>
      </c>
      <c r="V53" s="12">
        <f t="shared" si="5"/>
        <v>72.896445484293181</v>
      </c>
      <c r="W53" s="12"/>
      <c r="X53" s="17">
        <f t="shared" si="15"/>
        <v>6532857636.2971449</v>
      </c>
      <c r="Y53" s="17">
        <f t="shared" si="11"/>
        <v>6532.8576362971453</v>
      </c>
      <c r="Z53" s="12">
        <f t="shared" si="7"/>
        <v>2.7838210117415105</v>
      </c>
      <c r="AA53" s="12">
        <f t="shared" si="8"/>
        <v>1.5345075219918702</v>
      </c>
      <c r="AB53" s="12">
        <f t="shared" si="9"/>
        <v>1.1158431660790213</v>
      </c>
    </row>
    <row r="54" spans="2:28" x14ac:dyDescent="0.3">
      <c r="B54">
        <v>2010</v>
      </c>
      <c r="C54">
        <v>4</v>
      </c>
      <c r="D54">
        <v>95.74</v>
      </c>
      <c r="G54" s="5">
        <f t="shared" si="0"/>
        <v>89.865773911955174</v>
      </c>
      <c r="H54" s="7">
        <v>90.460700000000003</v>
      </c>
      <c r="K54" s="5">
        <f t="shared" si="1"/>
        <v>91.447348302674655</v>
      </c>
      <c r="L54">
        <v>137.94999999999999</v>
      </c>
      <c r="N54" s="5">
        <v>63.8</v>
      </c>
      <c r="O54" s="5">
        <f t="shared" si="10"/>
        <v>46.248640811888372</v>
      </c>
      <c r="P54" s="5">
        <v>119867.227177931</v>
      </c>
      <c r="Q54" s="5">
        <f t="shared" si="2"/>
        <v>119.867227177931</v>
      </c>
      <c r="R54">
        <v>55.868153829999997</v>
      </c>
      <c r="S54" s="5">
        <f t="shared" si="3"/>
        <v>175.73538100793098</v>
      </c>
      <c r="T54" s="5">
        <f t="shared" si="4"/>
        <v>127.39063501843492</v>
      </c>
      <c r="U54">
        <v>86.120219679999991</v>
      </c>
      <c r="V54" s="12">
        <f t="shared" si="5"/>
        <v>62.428575338890901</v>
      </c>
      <c r="W54" s="12"/>
      <c r="X54" s="17">
        <f t="shared" si="15"/>
        <v>6532857636.2971449</v>
      </c>
      <c r="Y54" s="17">
        <f t="shared" si="11"/>
        <v>6532.8576362971453</v>
      </c>
      <c r="Z54" s="12">
        <f t="shared" si="7"/>
        <v>1.9499986393495106</v>
      </c>
      <c r="AA54" s="12">
        <f t="shared" si="8"/>
        <v>1.3182626114720195</v>
      </c>
      <c r="AB54" s="12">
        <f t="shared" si="9"/>
        <v>0.95560899708011571</v>
      </c>
    </row>
    <row r="55" spans="2:28" x14ac:dyDescent="0.3">
      <c r="B55">
        <v>2010</v>
      </c>
      <c r="C55">
        <v>5</v>
      </c>
      <c r="D55">
        <v>96.1</v>
      </c>
      <c r="G55" s="5">
        <f t="shared" si="0"/>
        <v>90.203685741998044</v>
      </c>
      <c r="H55" s="7">
        <v>91.701400000000007</v>
      </c>
      <c r="K55" s="5">
        <f t="shared" si="1"/>
        <v>92.7015805277086</v>
      </c>
      <c r="L55">
        <v>137.87</v>
      </c>
      <c r="N55" s="5">
        <v>70.2</v>
      </c>
      <c r="O55" s="5">
        <f t="shared" si="10"/>
        <v>50.917531007470807</v>
      </c>
      <c r="P55" s="5">
        <v>115627.08110312</v>
      </c>
      <c r="Q55" s="5">
        <f t="shared" si="2"/>
        <v>115.62708110312001</v>
      </c>
      <c r="R55">
        <v>78.775525560000005</v>
      </c>
      <c r="S55" s="5">
        <f t="shared" si="3"/>
        <v>194.40260666312003</v>
      </c>
      <c r="T55" s="5">
        <f t="shared" si="4"/>
        <v>141.00428422653226</v>
      </c>
      <c r="U55">
        <v>79.726751120000003</v>
      </c>
      <c r="V55" s="12">
        <f t="shared" si="5"/>
        <v>57.827483223326325</v>
      </c>
      <c r="W55" s="12"/>
      <c r="X55" s="17">
        <f t="shared" si="15"/>
        <v>6532857636.2971449</v>
      </c>
      <c r="Y55" s="17">
        <f t="shared" si="11"/>
        <v>6532.8576362971453</v>
      </c>
      <c r="Z55" s="12">
        <f t="shared" si="7"/>
        <v>2.1583859939500254</v>
      </c>
      <c r="AA55" s="12">
        <f t="shared" si="8"/>
        <v>1.2203962730954214</v>
      </c>
      <c r="AB55" s="12">
        <f t="shared" si="9"/>
        <v>0.8851789896971215</v>
      </c>
    </row>
    <row r="56" spans="2:28" x14ac:dyDescent="0.3">
      <c r="B56">
        <v>2010</v>
      </c>
      <c r="C56">
        <v>6</v>
      </c>
      <c r="D56">
        <v>96.41</v>
      </c>
      <c r="G56" s="5">
        <f t="shared" si="0"/>
        <v>90.494665373423842</v>
      </c>
      <c r="H56" s="7">
        <v>91.903300000000002</v>
      </c>
      <c r="K56" s="5">
        <f t="shared" si="1"/>
        <v>92.905682636384626</v>
      </c>
      <c r="L56">
        <v>137.85</v>
      </c>
      <c r="N56" s="5">
        <v>63.5</v>
      </c>
      <c r="O56" s="5">
        <f t="shared" si="10"/>
        <v>46.064562930721806</v>
      </c>
      <c r="P56" s="5">
        <v>140646.22272033599</v>
      </c>
      <c r="Q56" s="5">
        <f t="shared" si="2"/>
        <v>140.646222720336</v>
      </c>
      <c r="R56">
        <v>96.452204260000002</v>
      </c>
      <c r="S56" s="5">
        <f t="shared" si="3"/>
        <v>237.098426980336</v>
      </c>
      <c r="T56" s="5">
        <f t="shared" si="4"/>
        <v>171.9974080379659</v>
      </c>
      <c r="U56">
        <v>96.297722360000009</v>
      </c>
      <c r="V56" s="12">
        <f t="shared" si="5"/>
        <v>69.856889633659776</v>
      </c>
      <c r="W56" s="12"/>
      <c r="X56" s="17">
        <f t="shared" si="15"/>
        <v>6532857636.2971449</v>
      </c>
      <c r="Y56" s="17">
        <f t="shared" si="11"/>
        <v>6532.8576362971453</v>
      </c>
      <c r="Z56" s="12">
        <f t="shared" si="7"/>
        <v>2.6328050849039295</v>
      </c>
      <c r="AA56" s="12">
        <f t="shared" si="8"/>
        <v>1.4740520568665265</v>
      </c>
      <c r="AB56" s="12">
        <f t="shared" si="9"/>
        <v>1.0693159643572914</v>
      </c>
    </row>
    <row r="57" spans="2:28" x14ac:dyDescent="0.3">
      <c r="B57">
        <v>2010</v>
      </c>
      <c r="C57">
        <v>7</v>
      </c>
      <c r="D57">
        <v>96.14</v>
      </c>
      <c r="G57" s="5">
        <f t="shared" si="0"/>
        <v>90.241231500891701</v>
      </c>
      <c r="H57" s="7">
        <v>92.254900000000006</v>
      </c>
      <c r="K57" s="5">
        <f t="shared" si="1"/>
        <v>93.261117512117636</v>
      </c>
      <c r="L57">
        <v>139.06</v>
      </c>
      <c r="N57" s="5">
        <v>66.5</v>
      </c>
      <c r="O57" s="5">
        <f t="shared" si="10"/>
        <v>47.821084423989646</v>
      </c>
      <c r="P57" s="5">
        <v>153863.51716634899</v>
      </c>
      <c r="Q57" s="5">
        <f t="shared" si="2"/>
        <v>153.863517166349</v>
      </c>
      <c r="R57">
        <v>69.39461412</v>
      </c>
      <c r="S57" s="5">
        <f t="shared" si="3"/>
        <v>223.258131286349</v>
      </c>
      <c r="T57" s="5">
        <f t="shared" si="4"/>
        <v>160.54805931709262</v>
      </c>
      <c r="U57">
        <v>75.192921680000012</v>
      </c>
      <c r="V57" s="12">
        <f t="shared" si="5"/>
        <v>54.072286552567249</v>
      </c>
      <c r="W57" s="12"/>
      <c r="X57" s="17">
        <f t="shared" si="15"/>
        <v>6532857636.2971449</v>
      </c>
      <c r="Y57" s="17">
        <f t="shared" si="11"/>
        <v>6532.8576362971453</v>
      </c>
      <c r="Z57" s="12">
        <f t="shared" si="7"/>
        <v>2.457547190758806</v>
      </c>
      <c r="AA57" s="12">
        <f t="shared" si="8"/>
        <v>1.1509958714272506</v>
      </c>
      <c r="AB57" s="12">
        <f t="shared" si="9"/>
        <v>0.82769730434866295</v>
      </c>
    </row>
    <row r="58" spans="2:28" x14ac:dyDescent="0.3">
      <c r="B58">
        <v>2010</v>
      </c>
      <c r="C58">
        <v>8</v>
      </c>
      <c r="D58">
        <v>97.25</v>
      </c>
      <c r="G58" s="5">
        <f t="shared" si="0"/>
        <v>91.283126310190539</v>
      </c>
      <c r="H58" s="7">
        <v>92.593599999999995</v>
      </c>
      <c r="K58" s="5">
        <f t="shared" si="1"/>
        <v>93.603511688485</v>
      </c>
      <c r="L58">
        <v>138.35</v>
      </c>
      <c r="N58" s="5">
        <v>66.5</v>
      </c>
      <c r="O58" s="5">
        <f t="shared" si="10"/>
        <v>48.066498012287681</v>
      </c>
      <c r="P58" s="5">
        <v>149418.45539489199</v>
      </c>
      <c r="Q58" s="5">
        <f t="shared" si="2"/>
        <v>149.41845539489199</v>
      </c>
      <c r="R58">
        <v>75.330929829999988</v>
      </c>
      <c r="S58" s="5">
        <f t="shared" si="3"/>
        <v>224.74938522489197</v>
      </c>
      <c r="T58" s="5">
        <f t="shared" si="4"/>
        <v>162.44986282970146</v>
      </c>
      <c r="U58">
        <v>70.396379760000002</v>
      </c>
      <c r="V58" s="12">
        <f t="shared" si="5"/>
        <v>50.882818764004348</v>
      </c>
      <c r="W58" s="12"/>
      <c r="X58" s="17">
        <f t="shared" si="15"/>
        <v>6532857636.2971449</v>
      </c>
      <c r="Y58" s="17">
        <f t="shared" si="11"/>
        <v>6532.8576362971453</v>
      </c>
      <c r="Z58" s="12">
        <f t="shared" si="7"/>
        <v>2.486658547817044</v>
      </c>
      <c r="AA58" s="12">
        <f t="shared" si="8"/>
        <v>1.0775740675699312</v>
      </c>
      <c r="AB58" s="12">
        <f t="shared" si="9"/>
        <v>0.77887536506680977</v>
      </c>
    </row>
    <row r="59" spans="2:28" x14ac:dyDescent="0.3">
      <c r="B59">
        <v>2010</v>
      </c>
      <c r="C59">
        <v>9</v>
      </c>
      <c r="D59">
        <v>97.4</v>
      </c>
      <c r="G59" s="5">
        <f t="shared" si="0"/>
        <v>91.423922906041724</v>
      </c>
      <c r="H59" s="7">
        <v>92.853300000000004</v>
      </c>
      <c r="K59" s="5">
        <f t="shared" si="1"/>
        <v>93.866044217574483</v>
      </c>
      <c r="L59">
        <v>138.94</v>
      </c>
      <c r="N59" s="5">
        <v>67.900000000000006</v>
      </c>
      <c r="O59" s="5">
        <f t="shared" si="10"/>
        <v>48.870015834173032</v>
      </c>
      <c r="P59" s="5">
        <v>164109.301613105</v>
      </c>
      <c r="Q59" s="5">
        <f t="shared" si="2"/>
        <v>164.109301613105</v>
      </c>
      <c r="R59">
        <v>69.003475289999997</v>
      </c>
      <c r="S59" s="5">
        <f t="shared" si="3"/>
        <v>233.11277690310499</v>
      </c>
      <c r="T59" s="5">
        <f t="shared" si="4"/>
        <v>167.77945653023247</v>
      </c>
      <c r="U59">
        <v>61.584249380000003</v>
      </c>
      <c r="V59" s="12">
        <f t="shared" si="5"/>
        <v>44.324348193464807</v>
      </c>
      <c r="W59" s="12"/>
      <c r="X59" s="17">
        <f t="shared" si="15"/>
        <v>6532857636.2971449</v>
      </c>
      <c r="Y59" s="17">
        <f t="shared" si="11"/>
        <v>6532.8576362971453</v>
      </c>
      <c r="Z59" s="12">
        <f t="shared" si="7"/>
        <v>2.5682399016019373</v>
      </c>
      <c r="AA59" s="12">
        <f t="shared" si="8"/>
        <v>0.94268469953841283</v>
      </c>
      <c r="AB59" s="12">
        <f t="shared" si="9"/>
        <v>0.6784833018125902</v>
      </c>
    </row>
    <row r="60" spans="2:28" x14ac:dyDescent="0.3">
      <c r="B60">
        <v>2010</v>
      </c>
      <c r="C60">
        <v>10</v>
      </c>
      <c r="D60">
        <v>96.13</v>
      </c>
      <c r="G60" s="5">
        <f t="shared" si="0"/>
        <v>90.231845061168286</v>
      </c>
      <c r="H60" s="7">
        <v>92.603300000000004</v>
      </c>
      <c r="K60" s="5">
        <f t="shared" si="1"/>
        <v>93.613317485682416</v>
      </c>
      <c r="L60">
        <v>141.91999999999999</v>
      </c>
      <c r="N60" s="5">
        <v>70.3</v>
      </c>
      <c r="O60" s="5">
        <f t="shared" si="10"/>
        <v>49.534949267192786</v>
      </c>
      <c r="P60" s="5">
        <v>142564.93946415899</v>
      </c>
      <c r="Q60" s="5">
        <f t="shared" si="2"/>
        <v>142.56493946415898</v>
      </c>
      <c r="R60">
        <v>73.646778499999996</v>
      </c>
      <c r="S60" s="5">
        <f t="shared" si="3"/>
        <v>216.21171796415899</v>
      </c>
      <c r="T60" s="5">
        <f t="shared" si="4"/>
        <v>152.34760284960473</v>
      </c>
      <c r="U60">
        <v>58.975031380000004</v>
      </c>
      <c r="V60" s="12">
        <f t="shared" si="5"/>
        <v>41.555123576662915</v>
      </c>
      <c r="W60" s="12"/>
      <c r="X60" s="17">
        <f t="shared" si="15"/>
        <v>6532857636.2971449</v>
      </c>
      <c r="Y60" s="17">
        <f t="shared" si="11"/>
        <v>6532.8576362971453</v>
      </c>
      <c r="Z60" s="12">
        <f t="shared" si="7"/>
        <v>2.3320208602610246</v>
      </c>
      <c r="AA60" s="12">
        <f t="shared" si="8"/>
        <v>0.90274478127809532</v>
      </c>
      <c r="AB60" s="12">
        <f t="shared" si="9"/>
        <v>0.63609412435040535</v>
      </c>
    </row>
    <row r="61" spans="2:28" x14ac:dyDescent="0.3">
      <c r="B61">
        <v>2010</v>
      </c>
      <c r="C61">
        <v>11</v>
      </c>
      <c r="D61">
        <v>95</v>
      </c>
      <c r="G61" s="5">
        <f t="shared" si="0"/>
        <v>89.171177372422633</v>
      </c>
      <c r="H61" s="7">
        <v>92.668599999999998</v>
      </c>
      <c r="K61" s="5">
        <f t="shared" si="1"/>
        <v>93.67932970805262</v>
      </c>
      <c r="L61">
        <v>144.11000000000001</v>
      </c>
      <c r="N61" s="5">
        <v>70.599999999999994</v>
      </c>
      <c r="O61" s="5">
        <f t="shared" si="10"/>
        <v>48.990354590243555</v>
      </c>
      <c r="P61" s="5">
        <v>156314.348317625</v>
      </c>
      <c r="Q61" s="5">
        <f t="shared" si="2"/>
        <v>156.31434831762499</v>
      </c>
      <c r="R61">
        <v>72.75793671000001</v>
      </c>
      <c r="S61" s="5">
        <f t="shared" si="3"/>
        <v>229.07228502762501</v>
      </c>
      <c r="T61" s="5">
        <f t="shared" si="4"/>
        <v>158.95655057083133</v>
      </c>
      <c r="U61">
        <v>64.703138730000006</v>
      </c>
      <c r="V61" s="12">
        <f t="shared" si="5"/>
        <v>44.898437811394075</v>
      </c>
      <c r="W61" s="12"/>
      <c r="X61" s="17">
        <f t="shared" si="15"/>
        <v>6532857636.2971449</v>
      </c>
      <c r="Y61" s="17">
        <f t="shared" si="11"/>
        <v>6532.8576362971453</v>
      </c>
      <c r="Z61" s="12">
        <f t="shared" si="7"/>
        <v>2.4331855892229215</v>
      </c>
      <c r="AA61" s="12">
        <f t="shared" si="8"/>
        <v>0.99042627793545568</v>
      </c>
      <c r="AB61" s="12">
        <f t="shared" si="9"/>
        <v>0.68727102764239512</v>
      </c>
    </row>
    <row r="62" spans="2:28" x14ac:dyDescent="0.3">
      <c r="B62">
        <v>2010</v>
      </c>
      <c r="C62">
        <v>12</v>
      </c>
      <c r="D62">
        <v>95.03</v>
      </c>
      <c r="G62" s="5">
        <f t="shared" si="0"/>
        <v>89.199336691592862</v>
      </c>
      <c r="H62" s="7">
        <v>93.5916</v>
      </c>
      <c r="K62" s="5">
        <f t="shared" si="1"/>
        <v>94.612396802198134</v>
      </c>
      <c r="L62">
        <v>145.03</v>
      </c>
      <c r="N62" s="5">
        <v>81.7</v>
      </c>
      <c r="O62" s="5">
        <f t="shared" si="10"/>
        <v>56.333172447079917</v>
      </c>
      <c r="P62" s="5">
        <v>129330.72488031699</v>
      </c>
      <c r="Q62" s="5">
        <f t="shared" si="2"/>
        <v>129.33072488031701</v>
      </c>
      <c r="R62">
        <v>87.542534029999985</v>
      </c>
      <c r="S62" s="5">
        <f t="shared" si="3"/>
        <v>216.87325891031699</v>
      </c>
      <c r="T62" s="5">
        <f t="shared" si="4"/>
        <v>149.5368261120575</v>
      </c>
      <c r="U62">
        <v>84.027849589999988</v>
      </c>
      <c r="V62" s="12">
        <f t="shared" si="5"/>
        <v>57.938253871612766</v>
      </c>
      <c r="W62" s="12"/>
      <c r="X62" s="17">
        <f t="shared" si="15"/>
        <v>6532857636.2971449</v>
      </c>
      <c r="Y62" s="17">
        <f t="shared" si="11"/>
        <v>6532.8576362971453</v>
      </c>
      <c r="Z62" s="12">
        <f t="shared" si="7"/>
        <v>2.2889956346395399</v>
      </c>
      <c r="AA62" s="12">
        <f t="shared" si="8"/>
        <v>1.2862342066530532</v>
      </c>
      <c r="AB62" s="12">
        <f t="shared" si="9"/>
        <v>0.88687458226094829</v>
      </c>
    </row>
    <row r="63" spans="2:28" s="9" customFormat="1" x14ac:dyDescent="0.3">
      <c r="B63" s="9">
        <v>2011</v>
      </c>
      <c r="C63" s="9">
        <v>1</v>
      </c>
      <c r="D63" s="9">
        <v>96.18</v>
      </c>
      <c r="G63" s="9">
        <f t="shared" si="0"/>
        <v>90.278777259785358</v>
      </c>
      <c r="H63" s="10">
        <v>93.388900000000007</v>
      </c>
      <c r="K63" s="9">
        <f t="shared" si="1"/>
        <v>94.407485967980051</v>
      </c>
      <c r="L63" s="9">
        <v>144.82</v>
      </c>
      <c r="M63" s="9">
        <f>AVERAGE(L63:L74)</f>
        <v>150.29666666666665</v>
      </c>
      <c r="N63" s="9">
        <v>67.400000000000006</v>
      </c>
      <c r="O63" s="9">
        <f t="shared" si="10"/>
        <v>46.540533075542058</v>
      </c>
      <c r="P63" s="9">
        <v>134754.290204333</v>
      </c>
      <c r="Q63" s="9">
        <f t="shared" si="2"/>
        <v>134.75429020433299</v>
      </c>
      <c r="R63" s="9">
        <v>62.599971770000003</v>
      </c>
      <c r="S63" s="9">
        <f t="shared" si="3"/>
        <v>197.35426197433299</v>
      </c>
      <c r="T63" s="9">
        <f t="shared" si="4"/>
        <v>136.27555722575127</v>
      </c>
      <c r="U63" s="9">
        <v>106.89902362000001</v>
      </c>
      <c r="V63" s="13">
        <f t="shared" si="5"/>
        <v>73.815097099848089</v>
      </c>
      <c r="W63" s="13">
        <v>9774329332.7127552</v>
      </c>
      <c r="X63" s="15">
        <f t="shared" ref="X63:X74" si="16">($W$63/$L$63)*100</f>
        <v>6749295216.6225357</v>
      </c>
      <c r="Y63" s="15">
        <f t="shared" si="11"/>
        <v>6749.2952166225359</v>
      </c>
      <c r="Z63" s="13">
        <f t="shared" si="7"/>
        <v>2.0191079638970941</v>
      </c>
      <c r="AA63" s="13">
        <f t="shared" si="8"/>
        <v>1.5838546128005071</v>
      </c>
      <c r="AB63" s="13">
        <f t="shared" si="9"/>
        <v>1.0936711868529947</v>
      </c>
    </row>
    <row r="64" spans="2:28" x14ac:dyDescent="0.3">
      <c r="B64">
        <v>2011</v>
      </c>
      <c r="C64">
        <v>2</v>
      </c>
      <c r="D64">
        <v>96.27</v>
      </c>
      <c r="G64" s="5">
        <f t="shared" si="0"/>
        <v>90.363255217296057</v>
      </c>
      <c r="H64" s="7">
        <v>93.004499999999993</v>
      </c>
      <c r="K64" s="5">
        <f t="shared" si="1"/>
        <v>94.018893345022789</v>
      </c>
      <c r="L64">
        <v>145.85</v>
      </c>
      <c r="N64" s="5">
        <v>69.3</v>
      </c>
      <c r="O64" s="5">
        <f t="shared" si="10"/>
        <v>47.514569763455604</v>
      </c>
      <c r="P64" s="5">
        <v>145521.174540598</v>
      </c>
      <c r="Q64" s="5">
        <f t="shared" si="2"/>
        <v>145.521174540598</v>
      </c>
      <c r="R64">
        <v>65.594593880000005</v>
      </c>
      <c r="S64" s="5">
        <f t="shared" si="3"/>
        <v>211.11576842059799</v>
      </c>
      <c r="T64" s="5">
        <f t="shared" si="4"/>
        <v>144.74855565347823</v>
      </c>
      <c r="U64">
        <v>106.51809538000001</v>
      </c>
      <c r="V64" s="12">
        <f t="shared" si="5"/>
        <v>73.032633102502572</v>
      </c>
      <c r="W64" s="12"/>
      <c r="X64" s="17">
        <f t="shared" si="16"/>
        <v>6749295216.6225357</v>
      </c>
      <c r="Y64" s="17">
        <f t="shared" si="11"/>
        <v>6749.2952166225359</v>
      </c>
      <c r="Z64" s="12">
        <f t="shared" si="7"/>
        <v>2.1446469743534631</v>
      </c>
      <c r="AA64" s="12">
        <f t="shared" si="8"/>
        <v>1.5782106421669237</v>
      </c>
      <c r="AB64" s="12">
        <f t="shared" si="9"/>
        <v>1.0820779171525019</v>
      </c>
    </row>
    <row r="65" spans="2:28" x14ac:dyDescent="0.3">
      <c r="B65">
        <v>2011</v>
      </c>
      <c r="C65">
        <v>3</v>
      </c>
      <c r="D65">
        <v>96.43</v>
      </c>
      <c r="G65" s="5">
        <f t="shared" si="0"/>
        <v>90.513438252870685</v>
      </c>
      <c r="H65" s="7">
        <v>93.968400000000003</v>
      </c>
      <c r="K65" s="5">
        <f t="shared" si="1"/>
        <v>94.993306532505855</v>
      </c>
      <c r="L65">
        <v>146.79</v>
      </c>
      <c r="N65" s="5">
        <v>77.5</v>
      </c>
      <c r="O65" s="5">
        <f t="shared" si="10"/>
        <v>52.796512023979837</v>
      </c>
      <c r="P65" s="5">
        <v>174901.26520515699</v>
      </c>
      <c r="Q65" s="5">
        <f t="shared" si="2"/>
        <v>174.90126520515699</v>
      </c>
      <c r="R65">
        <v>113.71542033999995</v>
      </c>
      <c r="S65" s="5">
        <f t="shared" si="3"/>
        <v>288.61668554515694</v>
      </c>
      <c r="T65" s="5">
        <f t="shared" si="4"/>
        <v>196.61876527362691</v>
      </c>
      <c r="U65">
        <v>134.02115408</v>
      </c>
      <c r="V65" s="12">
        <f t="shared" si="5"/>
        <v>91.301283520675796</v>
      </c>
      <c r="W65" s="12"/>
      <c r="X65" s="17">
        <f t="shared" si="16"/>
        <v>6749295216.6225357</v>
      </c>
      <c r="Y65" s="17">
        <f t="shared" si="11"/>
        <v>6749.2952166225359</v>
      </c>
      <c r="Z65" s="12">
        <f t="shared" si="7"/>
        <v>2.9131747680762783</v>
      </c>
      <c r="AA65" s="12">
        <f t="shared" si="8"/>
        <v>1.9857059111879614</v>
      </c>
      <c r="AB65" s="12">
        <f t="shared" si="9"/>
        <v>1.3527528518209422</v>
      </c>
    </row>
    <row r="66" spans="2:28" x14ac:dyDescent="0.3">
      <c r="B66">
        <v>2011</v>
      </c>
      <c r="C66">
        <v>4</v>
      </c>
      <c r="D66">
        <v>96.39</v>
      </c>
      <c r="G66" s="5">
        <f t="shared" si="0"/>
        <v>90.475892493977028</v>
      </c>
      <c r="H66" s="7">
        <v>93.6571</v>
      </c>
      <c r="K66" s="5">
        <f t="shared" si="1"/>
        <v>94.678611205953857</v>
      </c>
      <c r="L66">
        <v>147.76</v>
      </c>
      <c r="N66" s="5">
        <v>73.400000000000006</v>
      </c>
      <c r="O66" s="5">
        <f t="shared" si="10"/>
        <v>49.675148890092046</v>
      </c>
      <c r="P66" s="5">
        <v>157638.001994338</v>
      </c>
      <c r="Q66" s="5">
        <f t="shared" si="2"/>
        <v>157.638001994338</v>
      </c>
      <c r="R66">
        <v>55.868153829999997</v>
      </c>
      <c r="S66" s="5">
        <f t="shared" si="3"/>
        <v>213.50615582433801</v>
      </c>
      <c r="T66" s="5">
        <f t="shared" si="4"/>
        <v>144.4952326910788</v>
      </c>
      <c r="U66">
        <v>112.06350273999999</v>
      </c>
      <c r="V66" s="12">
        <f t="shared" si="5"/>
        <v>75.841569260963723</v>
      </c>
      <c r="W66" s="12"/>
      <c r="X66" s="17">
        <f t="shared" si="16"/>
        <v>6749295216.6225357</v>
      </c>
      <c r="Y66" s="17">
        <f t="shared" si="11"/>
        <v>6749.2952166225359</v>
      </c>
      <c r="Z66" s="12">
        <f t="shared" si="7"/>
        <v>2.1408936496837181</v>
      </c>
      <c r="AA66" s="12">
        <f t="shared" si="8"/>
        <v>1.6603734040852711</v>
      </c>
      <c r="AB66" s="12">
        <f t="shared" si="9"/>
        <v>1.123696131622409</v>
      </c>
    </row>
    <row r="67" spans="2:28" x14ac:dyDescent="0.3">
      <c r="B67">
        <v>2011</v>
      </c>
      <c r="C67">
        <v>5</v>
      </c>
      <c r="D67">
        <v>96.08</v>
      </c>
      <c r="G67" s="5">
        <f t="shared" ref="G67:G130" si="17">$F$3*D67</f>
        <v>90.184912862551215</v>
      </c>
      <c r="H67" s="7">
        <v>93.772300000000001</v>
      </c>
      <c r="K67" s="5">
        <f t="shared" ref="K67:K130" si="18">$J$3*H67</f>
        <v>94.795067684009723</v>
      </c>
      <c r="L67">
        <v>149.30000000000001</v>
      </c>
      <c r="N67" s="5">
        <v>77.8</v>
      </c>
      <c r="O67" s="5">
        <f t="shared" ref="O67:O130" si="19">(N67/L67)*100</f>
        <v>52.109845947756192</v>
      </c>
      <c r="P67" s="5">
        <v>160405.58605231199</v>
      </c>
      <c r="Q67" s="5">
        <f t="shared" ref="Q67:Q130" si="20">P67/1000</f>
        <v>160.405586052312</v>
      </c>
      <c r="R67">
        <v>78.775525560000005</v>
      </c>
      <c r="S67" s="5">
        <f t="shared" ref="S67:S130" si="21">Q67+R67</f>
        <v>239.18111161231201</v>
      </c>
      <c r="T67" s="5">
        <f t="shared" ref="T67:T130" si="22">(S67/L67)*100</f>
        <v>160.20168225874883</v>
      </c>
      <c r="U67">
        <v>122.08546575</v>
      </c>
      <c r="V67" s="12">
        <f t="shared" ref="V67:V130" si="23">(U67/L67)*100</f>
        <v>81.771912759544534</v>
      </c>
      <c r="W67" s="12"/>
      <c r="X67" s="17">
        <f t="shared" si="16"/>
        <v>6749295216.6225357</v>
      </c>
      <c r="Y67" s="17">
        <f t="shared" si="11"/>
        <v>6749.2952166225359</v>
      </c>
      <c r="Z67" s="12">
        <f t="shared" ref="Z67:Z130" si="24">(T67/Y67)*100</f>
        <v>2.3736060894802069</v>
      </c>
      <c r="AA67" s="12">
        <f t="shared" ref="AA67:AA130" si="25">(U67/Y67)*100</f>
        <v>1.8088624342482633</v>
      </c>
      <c r="AB67" s="12">
        <f t="shared" ref="AB67:AB130" si="26">(V67/Y67)*100</f>
        <v>1.211562246649875</v>
      </c>
    </row>
    <row r="68" spans="2:28" x14ac:dyDescent="0.3">
      <c r="B68">
        <v>2011</v>
      </c>
      <c r="C68">
        <v>6</v>
      </c>
      <c r="D68">
        <v>96.1</v>
      </c>
      <c r="G68" s="5">
        <f t="shared" si="17"/>
        <v>90.203685741998044</v>
      </c>
      <c r="H68" s="7">
        <v>94.049300000000002</v>
      </c>
      <c r="K68" s="5">
        <f t="shared" si="18"/>
        <v>95.075088902946121</v>
      </c>
      <c r="L68">
        <v>150.28</v>
      </c>
      <c r="N68" s="5">
        <v>70</v>
      </c>
      <c r="O68" s="5">
        <f t="shared" si="19"/>
        <v>46.579717859994673</v>
      </c>
      <c r="P68" s="5">
        <v>182746.775665188</v>
      </c>
      <c r="Q68" s="5">
        <f t="shared" si="20"/>
        <v>182.74677566518801</v>
      </c>
      <c r="R68">
        <v>96.452204260000002</v>
      </c>
      <c r="S68" s="5">
        <f t="shared" si="21"/>
        <v>279.19897992518804</v>
      </c>
      <c r="T68" s="5">
        <f t="shared" si="22"/>
        <v>185.78585302447968</v>
      </c>
      <c r="U68">
        <v>103.25897901</v>
      </c>
      <c r="V68" s="12">
        <f t="shared" si="23"/>
        <v>68.71105869709875</v>
      </c>
      <c r="W68" s="12"/>
      <c r="X68" s="17">
        <f t="shared" si="16"/>
        <v>6749295216.6225357</v>
      </c>
      <c r="Y68" s="17">
        <f t="shared" ref="Y68:Y131" si="27">X68/1000000</f>
        <v>6749.2952166225359</v>
      </c>
      <c r="Z68" s="12">
        <f t="shared" si="24"/>
        <v>2.7526704205635584</v>
      </c>
      <c r="AA68" s="12">
        <f t="shared" si="25"/>
        <v>1.5299223947959499</v>
      </c>
      <c r="AB68" s="12">
        <f t="shared" si="26"/>
        <v>1.0180479071040391</v>
      </c>
    </row>
    <row r="69" spans="2:28" x14ac:dyDescent="0.3">
      <c r="B69">
        <v>2011</v>
      </c>
      <c r="C69">
        <v>7</v>
      </c>
      <c r="D69">
        <v>96.49</v>
      </c>
      <c r="G69" s="5">
        <f t="shared" si="17"/>
        <v>90.569756891211142</v>
      </c>
      <c r="H69" s="7">
        <v>94.495800000000003</v>
      </c>
      <c r="K69" s="5">
        <f t="shared" si="18"/>
        <v>95.526458846105356</v>
      </c>
      <c r="L69">
        <v>150.81</v>
      </c>
      <c r="N69" s="5">
        <v>74.5</v>
      </c>
      <c r="O69" s="5">
        <f t="shared" si="19"/>
        <v>49.399907167959682</v>
      </c>
      <c r="P69" s="5">
        <v>188471.611161829</v>
      </c>
      <c r="Q69" s="5">
        <f t="shared" si="20"/>
        <v>188.471611161829</v>
      </c>
      <c r="R69">
        <v>69.39461412</v>
      </c>
      <c r="S69" s="5">
        <f t="shared" si="21"/>
        <v>257.86622528182897</v>
      </c>
      <c r="T69" s="5">
        <f t="shared" si="22"/>
        <v>170.98748443858429</v>
      </c>
      <c r="U69">
        <v>87.418611350000006</v>
      </c>
      <c r="V69" s="12">
        <f t="shared" si="23"/>
        <v>57.966057522710699</v>
      </c>
      <c r="W69" s="12"/>
      <c r="X69" s="17">
        <f t="shared" si="16"/>
        <v>6749295216.6225357</v>
      </c>
      <c r="Y69" s="17">
        <f t="shared" si="27"/>
        <v>6749.2952166225359</v>
      </c>
      <c r="Z69" s="12">
        <f t="shared" si="24"/>
        <v>2.5334124371603557</v>
      </c>
      <c r="AA69" s="12">
        <f t="shared" si="25"/>
        <v>1.295225776088452</v>
      </c>
      <c r="AB69" s="12">
        <f t="shared" si="26"/>
        <v>0.85884608188346401</v>
      </c>
    </row>
    <row r="70" spans="2:28" x14ac:dyDescent="0.3">
      <c r="B70">
        <v>2011</v>
      </c>
      <c r="C70">
        <v>8</v>
      </c>
      <c r="D70">
        <v>96.57</v>
      </c>
      <c r="G70" s="5">
        <f t="shared" si="17"/>
        <v>90.644848408998442</v>
      </c>
      <c r="H70" s="7">
        <v>95.097399999999993</v>
      </c>
      <c r="K70" s="5">
        <f t="shared" si="18"/>
        <v>96.13462045373042</v>
      </c>
      <c r="L70">
        <v>151.77000000000001</v>
      </c>
      <c r="N70" s="5">
        <v>77.3</v>
      </c>
      <c r="O70" s="5">
        <f t="shared" si="19"/>
        <v>50.932331817882314</v>
      </c>
      <c r="P70" s="5">
        <v>192211.57322610501</v>
      </c>
      <c r="Q70" s="5">
        <f t="shared" si="20"/>
        <v>192.211573226105</v>
      </c>
      <c r="R70">
        <v>75.330929829999988</v>
      </c>
      <c r="S70" s="5">
        <f t="shared" si="21"/>
        <v>267.54250305610498</v>
      </c>
      <c r="T70" s="5">
        <f t="shared" si="22"/>
        <v>176.28154645589046</v>
      </c>
      <c r="U70">
        <v>88.938253700000004</v>
      </c>
      <c r="V70" s="12">
        <f t="shared" si="23"/>
        <v>58.60068109639586</v>
      </c>
      <c r="W70" s="12"/>
      <c r="X70" s="17">
        <f t="shared" si="16"/>
        <v>6749295216.6225357</v>
      </c>
      <c r="Y70" s="17">
        <f t="shared" si="27"/>
        <v>6749.2952166225359</v>
      </c>
      <c r="Z70" s="12">
        <f t="shared" si="24"/>
        <v>2.6118511755380704</v>
      </c>
      <c r="AA70" s="12">
        <f t="shared" si="25"/>
        <v>1.3177413469921715</v>
      </c>
      <c r="AB70" s="12">
        <f t="shared" si="26"/>
        <v>0.86824889437449526</v>
      </c>
    </row>
    <row r="71" spans="2:28" x14ac:dyDescent="0.3">
      <c r="B71">
        <v>2011</v>
      </c>
      <c r="C71">
        <v>9</v>
      </c>
      <c r="D71">
        <v>96.85</v>
      </c>
      <c r="G71" s="5">
        <f t="shared" si="17"/>
        <v>90.907668721254012</v>
      </c>
      <c r="H71" s="7">
        <v>95.0244</v>
      </c>
      <c r="K71" s="5">
        <f t="shared" si="18"/>
        <v>96.060824248017937</v>
      </c>
      <c r="L71">
        <v>152.13</v>
      </c>
      <c r="N71" s="5">
        <v>74.8</v>
      </c>
      <c r="O71" s="5">
        <f t="shared" si="19"/>
        <v>49.168474331164134</v>
      </c>
      <c r="P71" s="5">
        <v>203998.49296168701</v>
      </c>
      <c r="Q71" s="5">
        <f t="shared" si="20"/>
        <v>203.99849296168702</v>
      </c>
      <c r="R71">
        <v>69.003475289999997</v>
      </c>
      <c r="S71" s="5">
        <f t="shared" si="21"/>
        <v>273.001968251687</v>
      </c>
      <c r="T71" s="5">
        <f t="shared" si="22"/>
        <v>179.45307845374811</v>
      </c>
      <c r="U71">
        <v>68.981232809999995</v>
      </c>
      <c r="V71" s="12">
        <f t="shared" si="23"/>
        <v>45.343609288108851</v>
      </c>
      <c r="W71" s="12"/>
      <c r="X71" s="17">
        <f t="shared" si="16"/>
        <v>6749295216.6225357</v>
      </c>
      <c r="Y71" s="17">
        <f t="shared" si="27"/>
        <v>6749.2952166225359</v>
      </c>
      <c r="Z71" s="12">
        <f t="shared" si="24"/>
        <v>2.6588417411610799</v>
      </c>
      <c r="AA71" s="12">
        <f t="shared" si="25"/>
        <v>1.0220509045168036</v>
      </c>
      <c r="AB71" s="12">
        <f t="shared" si="26"/>
        <v>0.67182732170959292</v>
      </c>
    </row>
    <row r="72" spans="2:28" x14ac:dyDescent="0.3">
      <c r="B72">
        <v>2011</v>
      </c>
      <c r="C72">
        <v>10</v>
      </c>
      <c r="D72">
        <v>96.71</v>
      </c>
      <c r="G72" s="5">
        <f t="shared" si="17"/>
        <v>90.776258565126227</v>
      </c>
      <c r="H72" s="7">
        <v>95.689099999999996</v>
      </c>
      <c r="K72" s="5">
        <f t="shared" si="18"/>
        <v>96.732774082772565</v>
      </c>
      <c r="L72">
        <v>152.78</v>
      </c>
      <c r="N72" s="5">
        <v>79.400000000000006</v>
      </c>
      <c r="O72" s="5">
        <f t="shared" si="19"/>
        <v>51.970153161408561</v>
      </c>
      <c r="P72" s="5">
        <v>198529.86706069999</v>
      </c>
      <c r="Q72" s="5">
        <f t="shared" si="20"/>
        <v>198.52986706069998</v>
      </c>
      <c r="R72">
        <v>73.646778499999996</v>
      </c>
      <c r="S72" s="5">
        <f t="shared" si="21"/>
        <v>272.17664556069997</v>
      </c>
      <c r="T72" s="5">
        <f t="shared" si="22"/>
        <v>178.1493949212593</v>
      </c>
      <c r="U72">
        <v>82.251045329999997</v>
      </c>
      <c r="V72" s="12">
        <f t="shared" si="23"/>
        <v>53.836264779421384</v>
      </c>
      <c r="W72" s="12"/>
      <c r="X72" s="17">
        <f t="shared" si="16"/>
        <v>6749295216.6225357</v>
      </c>
      <c r="Y72" s="17">
        <f t="shared" si="27"/>
        <v>6749.2952166225359</v>
      </c>
      <c r="Z72" s="12">
        <f t="shared" si="24"/>
        <v>2.639525894237122</v>
      </c>
      <c r="AA72" s="12">
        <f t="shared" si="25"/>
        <v>1.2186612481763666</v>
      </c>
      <c r="AB72" s="12">
        <f t="shared" si="26"/>
        <v>0.7976575783324823</v>
      </c>
    </row>
    <row r="73" spans="2:28" x14ac:dyDescent="0.3">
      <c r="B73">
        <v>2011</v>
      </c>
      <c r="C73">
        <v>11</v>
      </c>
      <c r="D73">
        <v>95.84</v>
      </c>
      <c r="G73" s="5">
        <f t="shared" si="17"/>
        <v>89.959638309189316</v>
      </c>
      <c r="H73" s="7">
        <v>95.677800000000005</v>
      </c>
      <c r="K73" s="5">
        <f t="shared" si="18"/>
        <v>96.721350834491048</v>
      </c>
      <c r="L73">
        <v>154.69999999999999</v>
      </c>
      <c r="N73" s="5">
        <v>75.7</v>
      </c>
      <c r="O73" s="5">
        <f t="shared" si="19"/>
        <v>48.93341952165482</v>
      </c>
      <c r="P73" s="5">
        <v>175998.39620254299</v>
      </c>
      <c r="Q73" s="5">
        <f t="shared" si="20"/>
        <v>175.99839620254301</v>
      </c>
      <c r="R73">
        <v>72.75793671000001</v>
      </c>
      <c r="S73" s="5">
        <f t="shared" si="21"/>
        <v>248.75633291254303</v>
      </c>
      <c r="T73" s="5">
        <f t="shared" si="22"/>
        <v>160.79918093894184</v>
      </c>
      <c r="U73">
        <v>77.11790628</v>
      </c>
      <c r="V73" s="12">
        <f t="shared" si="23"/>
        <v>49.849971738849391</v>
      </c>
      <c r="W73" s="12"/>
      <c r="X73" s="17">
        <f t="shared" si="16"/>
        <v>6749295216.6225357</v>
      </c>
      <c r="Y73" s="17">
        <f t="shared" si="27"/>
        <v>6749.2952166225359</v>
      </c>
      <c r="Z73" s="12">
        <f t="shared" si="24"/>
        <v>2.3824588461165064</v>
      </c>
      <c r="AA73" s="12">
        <f t="shared" si="25"/>
        <v>1.1426068027083742</v>
      </c>
      <c r="AB73" s="12">
        <f t="shared" si="26"/>
        <v>0.73859521829888453</v>
      </c>
    </row>
    <row r="74" spans="2:28" x14ac:dyDescent="0.3">
      <c r="B74">
        <v>2011</v>
      </c>
      <c r="C74">
        <v>12</v>
      </c>
      <c r="D74">
        <v>95.02</v>
      </c>
      <c r="G74" s="5">
        <f t="shared" si="17"/>
        <v>89.189950251869448</v>
      </c>
      <c r="H74" s="7">
        <v>96.180899999999994</v>
      </c>
      <c r="K74" s="5">
        <f t="shared" si="18"/>
        <v>97.229938109750634</v>
      </c>
      <c r="L74">
        <v>156.57</v>
      </c>
      <c r="N74" s="5">
        <v>94.5</v>
      </c>
      <c r="O74" s="5">
        <f t="shared" si="19"/>
        <v>60.356390113048477</v>
      </c>
      <c r="P74" s="5">
        <v>136670.03631953101</v>
      </c>
      <c r="Q74" s="5">
        <f t="shared" si="20"/>
        <v>136.67003631953099</v>
      </c>
      <c r="R74">
        <v>87.542534029999985</v>
      </c>
      <c r="S74" s="5">
        <f t="shared" si="21"/>
        <v>224.21257034953098</v>
      </c>
      <c r="T74" s="5">
        <f t="shared" si="22"/>
        <v>143.20276575942452</v>
      </c>
      <c r="U74">
        <v>86.371344450000009</v>
      </c>
      <c r="V74" s="12">
        <f t="shared" si="23"/>
        <v>55.164683176853814</v>
      </c>
      <c r="W74" s="12"/>
      <c r="X74" s="17">
        <f t="shared" si="16"/>
        <v>6749295216.6225357</v>
      </c>
      <c r="Y74" s="17">
        <f t="shared" si="27"/>
        <v>6749.2952166225359</v>
      </c>
      <c r="Z74" s="12">
        <f t="shared" si="24"/>
        <v>2.1217439919761825</v>
      </c>
      <c r="AA74" s="12">
        <f t="shared" si="25"/>
        <v>1.279709090769654</v>
      </c>
      <c r="AB74" s="12">
        <f t="shared" si="26"/>
        <v>0.81733990596516204</v>
      </c>
    </row>
    <row r="75" spans="2:28" s="9" customFormat="1" x14ac:dyDescent="0.3">
      <c r="B75" s="9">
        <v>2012</v>
      </c>
      <c r="C75" s="9">
        <v>1</v>
      </c>
      <c r="D75" s="9">
        <v>95.91</v>
      </c>
      <c r="G75" s="9">
        <f t="shared" si="17"/>
        <v>90.025343387253201</v>
      </c>
      <c r="H75" s="10">
        <v>96.759500000000003</v>
      </c>
      <c r="K75" s="9">
        <f t="shared" si="18"/>
        <v>97.814848858041643</v>
      </c>
      <c r="L75" s="9">
        <v>156.77000000000001</v>
      </c>
      <c r="M75" s="9">
        <f>AVERAGE(L75:L86)</f>
        <v>161.10833333333332</v>
      </c>
      <c r="N75" s="9">
        <v>78.099999999999994</v>
      </c>
      <c r="O75" s="9">
        <f t="shared" si="19"/>
        <v>49.818205013714348</v>
      </c>
      <c r="P75" s="9">
        <v>178818.65787542501</v>
      </c>
      <c r="Q75" s="9">
        <f t="shared" si="20"/>
        <v>178.818657875425</v>
      </c>
      <c r="R75" s="9">
        <v>109.70019865</v>
      </c>
      <c r="S75" s="9">
        <f t="shared" si="21"/>
        <v>288.51885652542501</v>
      </c>
      <c r="T75" s="9">
        <f t="shared" si="22"/>
        <v>184.03958443925814</v>
      </c>
      <c r="U75" s="9">
        <v>104.65441376000001</v>
      </c>
      <c r="V75" s="13">
        <f t="shared" si="23"/>
        <v>66.756658646424711</v>
      </c>
      <c r="W75" s="13">
        <v>10532017231.825281</v>
      </c>
      <c r="X75" s="15">
        <f t="shared" ref="X75:X86" si="28">($W$75/$L$75)*100</f>
        <v>6718133081.4730377</v>
      </c>
      <c r="Y75" s="15">
        <f t="shared" si="27"/>
        <v>6718.1330814730381</v>
      </c>
      <c r="Z75" s="13">
        <f t="shared" si="24"/>
        <v>2.739445351965327</v>
      </c>
      <c r="AA75" s="13">
        <f t="shared" si="25"/>
        <v>1.5577901254830928</v>
      </c>
      <c r="AB75" s="13">
        <f t="shared" si="26"/>
        <v>0.99367871753721571</v>
      </c>
    </row>
    <row r="76" spans="2:28" x14ac:dyDescent="0.3">
      <c r="B76">
        <v>2012</v>
      </c>
      <c r="C76">
        <v>2</v>
      </c>
      <c r="D76">
        <v>95.43</v>
      </c>
      <c r="G76" s="5">
        <f t="shared" si="17"/>
        <v>89.574794280529389</v>
      </c>
      <c r="H76" s="7">
        <v>97.066199999999995</v>
      </c>
      <c r="K76" s="5">
        <f t="shared" si="18"/>
        <v>98.124894012726827</v>
      </c>
      <c r="L76">
        <v>158.69</v>
      </c>
      <c r="N76" s="5">
        <v>82.3</v>
      </c>
      <c r="O76" s="5">
        <f t="shared" si="19"/>
        <v>51.862121116642513</v>
      </c>
      <c r="P76" s="5">
        <v>170270.391661003</v>
      </c>
      <c r="Q76" s="5">
        <f t="shared" si="20"/>
        <v>170.270391661003</v>
      </c>
      <c r="R76">
        <v>100.68752752</v>
      </c>
      <c r="S76" s="5">
        <f t="shared" si="21"/>
        <v>270.95791918100304</v>
      </c>
      <c r="T76" s="5">
        <f t="shared" si="22"/>
        <v>170.74668799609495</v>
      </c>
      <c r="U76">
        <v>114.22687861999999</v>
      </c>
      <c r="V76" s="12">
        <f t="shared" si="23"/>
        <v>71.981144760224339</v>
      </c>
      <c r="W76" s="12"/>
      <c r="X76" s="17">
        <f t="shared" si="28"/>
        <v>6718133081.4730377</v>
      </c>
      <c r="Y76" s="17">
        <f t="shared" si="27"/>
        <v>6718.1330814730381</v>
      </c>
      <c r="Z76" s="12">
        <f t="shared" si="24"/>
        <v>2.5415794228157282</v>
      </c>
      <c r="AA76" s="12">
        <f t="shared" si="25"/>
        <v>1.7002771042897273</v>
      </c>
      <c r="AB76" s="12">
        <f t="shared" si="26"/>
        <v>1.0714456514523458</v>
      </c>
    </row>
    <row r="77" spans="2:28" x14ac:dyDescent="0.3">
      <c r="B77">
        <v>2012</v>
      </c>
      <c r="C77">
        <v>3</v>
      </c>
      <c r="D77">
        <v>95.38</v>
      </c>
      <c r="G77" s="5">
        <f t="shared" si="17"/>
        <v>89.527862081912318</v>
      </c>
      <c r="H77" s="7">
        <v>96.560900000000004</v>
      </c>
      <c r="K77" s="5">
        <f t="shared" si="18"/>
        <v>97.614082742226586</v>
      </c>
      <c r="L77">
        <v>159.33000000000001</v>
      </c>
      <c r="N77" s="5">
        <v>89.7</v>
      </c>
      <c r="O77" s="5">
        <f t="shared" si="19"/>
        <v>56.298248917341368</v>
      </c>
      <c r="P77" s="5">
        <v>190733.26669226601</v>
      </c>
      <c r="Q77" s="5">
        <f t="shared" si="20"/>
        <v>190.733266692266</v>
      </c>
      <c r="R77">
        <v>130.52290611999999</v>
      </c>
      <c r="S77" s="5">
        <f t="shared" si="21"/>
        <v>321.25617281226596</v>
      </c>
      <c r="T77" s="5">
        <f t="shared" si="22"/>
        <v>201.62943125102987</v>
      </c>
      <c r="U77">
        <v>139.6680681</v>
      </c>
      <c r="V77" s="12">
        <f t="shared" si="23"/>
        <v>87.659617209565042</v>
      </c>
      <c r="W77" s="12"/>
      <c r="X77" s="17">
        <f t="shared" si="28"/>
        <v>6718133081.4730377</v>
      </c>
      <c r="Y77" s="17">
        <f t="shared" si="27"/>
        <v>6718.1330814730381</v>
      </c>
      <c r="Z77" s="12">
        <f t="shared" si="24"/>
        <v>3.0012717641315314</v>
      </c>
      <c r="AA77" s="12">
        <f t="shared" si="25"/>
        <v>2.0789714405207342</v>
      </c>
      <c r="AB77" s="12">
        <f t="shared" si="26"/>
        <v>1.3048210886341138</v>
      </c>
    </row>
    <row r="78" spans="2:28" x14ac:dyDescent="0.3">
      <c r="B78">
        <v>2012</v>
      </c>
      <c r="C78">
        <v>4</v>
      </c>
      <c r="D78">
        <v>94.76</v>
      </c>
      <c r="G78" s="5">
        <f t="shared" si="17"/>
        <v>88.94590281906072</v>
      </c>
      <c r="H78" s="7">
        <v>97.251000000000005</v>
      </c>
      <c r="K78" s="5">
        <f t="shared" si="18"/>
        <v>98.311709612941442</v>
      </c>
      <c r="L78">
        <v>161.03</v>
      </c>
      <c r="N78" s="5">
        <v>80.099999999999994</v>
      </c>
      <c r="O78" s="5">
        <f t="shared" si="19"/>
        <v>49.742284046450969</v>
      </c>
      <c r="P78" s="5">
        <v>160327.184564286</v>
      </c>
      <c r="Q78" s="5">
        <f t="shared" si="20"/>
        <v>160.327184564286</v>
      </c>
      <c r="R78">
        <v>138.89713833999997</v>
      </c>
      <c r="S78" s="5">
        <f t="shared" si="21"/>
        <v>299.22432290428594</v>
      </c>
      <c r="T78" s="5">
        <f t="shared" si="22"/>
        <v>185.81899205383218</v>
      </c>
      <c r="U78">
        <v>124.13168681999998</v>
      </c>
      <c r="V78" s="12">
        <f t="shared" si="23"/>
        <v>77.086062733652099</v>
      </c>
      <c r="W78" s="12"/>
      <c r="X78" s="17">
        <f t="shared" si="28"/>
        <v>6718133081.4730377</v>
      </c>
      <c r="Y78" s="17">
        <f t="shared" si="27"/>
        <v>6718.1330814730381</v>
      </c>
      <c r="Z78" s="12">
        <f t="shared" si="24"/>
        <v>2.7659319903363531</v>
      </c>
      <c r="AA78" s="12">
        <f t="shared" si="25"/>
        <v>1.8477110428539247</v>
      </c>
      <c r="AB78" s="12">
        <f t="shared" si="26"/>
        <v>1.1474328031136587</v>
      </c>
    </row>
    <row r="79" spans="2:28" x14ac:dyDescent="0.3">
      <c r="B79">
        <v>2012</v>
      </c>
      <c r="C79">
        <v>5</v>
      </c>
      <c r="D79">
        <v>95.16</v>
      </c>
      <c r="G79" s="5">
        <f t="shared" si="17"/>
        <v>89.321360407997233</v>
      </c>
      <c r="H79" s="7">
        <v>97.459500000000006</v>
      </c>
      <c r="K79" s="5">
        <f t="shared" si="18"/>
        <v>98.522483707339433</v>
      </c>
      <c r="L79">
        <v>160.53</v>
      </c>
      <c r="N79" s="5">
        <v>85.2</v>
      </c>
      <c r="O79" s="5">
        <f t="shared" si="19"/>
        <v>53.07419173986171</v>
      </c>
      <c r="P79" s="5">
        <v>166566.21509076699</v>
      </c>
      <c r="Q79" s="5">
        <f t="shared" si="20"/>
        <v>166.56621509076697</v>
      </c>
      <c r="R79">
        <v>97.337789530000023</v>
      </c>
      <c r="S79" s="5">
        <f t="shared" si="21"/>
        <v>263.90400462076701</v>
      </c>
      <c r="T79" s="5">
        <f t="shared" si="22"/>
        <v>164.39544298309787</v>
      </c>
      <c r="U79">
        <v>131.36593088000001</v>
      </c>
      <c r="V79" s="12">
        <f t="shared" si="23"/>
        <v>81.832636192611972</v>
      </c>
      <c r="W79" s="12"/>
      <c r="X79" s="17">
        <f t="shared" si="28"/>
        <v>6718133081.4730377</v>
      </c>
      <c r="Y79" s="17">
        <f t="shared" si="27"/>
        <v>6718.1330814730381</v>
      </c>
      <c r="Z79" s="12">
        <f t="shared" si="24"/>
        <v>2.447040583885725</v>
      </c>
      <c r="AA79" s="12">
        <f t="shared" si="25"/>
        <v>1.9553934000247033</v>
      </c>
      <c r="AB79" s="12">
        <f t="shared" si="26"/>
        <v>1.2180859652555305</v>
      </c>
    </row>
    <row r="80" spans="2:28" x14ac:dyDescent="0.3">
      <c r="B80">
        <v>2012</v>
      </c>
      <c r="C80">
        <v>6</v>
      </c>
      <c r="D80">
        <v>95.94</v>
      </c>
      <c r="G80" s="5">
        <f t="shared" si="17"/>
        <v>90.053502706423444</v>
      </c>
      <c r="H80" s="7">
        <v>97.476799999999997</v>
      </c>
      <c r="K80" s="5">
        <f t="shared" si="18"/>
        <v>98.539972397186361</v>
      </c>
      <c r="L80">
        <v>160</v>
      </c>
      <c r="N80" s="5">
        <v>78.900000000000006</v>
      </c>
      <c r="O80" s="5">
        <f t="shared" si="19"/>
        <v>49.3125</v>
      </c>
      <c r="P80" s="5">
        <v>177658.52931330999</v>
      </c>
      <c r="Q80" s="5">
        <f t="shared" si="20"/>
        <v>177.65852931331</v>
      </c>
      <c r="R80">
        <v>84.452720000000028</v>
      </c>
      <c r="S80" s="5">
        <f t="shared" si="21"/>
        <v>262.11124931331005</v>
      </c>
      <c r="T80" s="5">
        <f t="shared" si="22"/>
        <v>163.81953082081878</v>
      </c>
      <c r="U80">
        <v>129.19059777000001</v>
      </c>
      <c r="V80" s="12">
        <f t="shared" si="23"/>
        <v>80.744123606250014</v>
      </c>
      <c r="W80" s="12"/>
      <c r="X80" s="17">
        <f t="shared" si="28"/>
        <v>6718133081.4730377</v>
      </c>
      <c r="Y80" s="17">
        <f t="shared" si="27"/>
        <v>6718.1330814730381</v>
      </c>
      <c r="Z80" s="12">
        <f t="shared" si="24"/>
        <v>2.4384680808511048</v>
      </c>
      <c r="AA80" s="12">
        <f t="shared" si="25"/>
        <v>1.9230133759373709</v>
      </c>
      <c r="AB80" s="12">
        <f t="shared" si="26"/>
        <v>1.2018833599608572</v>
      </c>
    </row>
    <row r="81" spans="2:28" x14ac:dyDescent="0.3">
      <c r="B81">
        <v>2012</v>
      </c>
      <c r="C81">
        <v>7</v>
      </c>
      <c r="D81">
        <v>96.45</v>
      </c>
      <c r="G81" s="5">
        <f t="shared" si="17"/>
        <v>90.532211132317499</v>
      </c>
      <c r="H81" s="7">
        <v>97.671400000000006</v>
      </c>
      <c r="K81" s="5">
        <f t="shared" si="18"/>
        <v>98.736694885291143</v>
      </c>
      <c r="L81">
        <v>160.41999999999999</v>
      </c>
      <c r="N81" s="5">
        <v>80.900000000000006</v>
      </c>
      <c r="O81" s="5">
        <f t="shared" si="19"/>
        <v>50.430120932552057</v>
      </c>
      <c r="P81" s="5">
        <v>186507.67850660699</v>
      </c>
      <c r="Q81" s="5">
        <f t="shared" si="20"/>
        <v>186.50767850660699</v>
      </c>
      <c r="R81">
        <v>122.32286410999998</v>
      </c>
      <c r="S81" s="5">
        <f t="shared" si="21"/>
        <v>308.83054261660698</v>
      </c>
      <c r="T81" s="5">
        <f t="shared" si="22"/>
        <v>192.51374056639258</v>
      </c>
      <c r="U81">
        <v>108.10201840000001</v>
      </c>
      <c r="V81" s="12">
        <f t="shared" si="23"/>
        <v>67.386870963720241</v>
      </c>
      <c r="W81" s="12"/>
      <c r="X81" s="17">
        <f t="shared" si="28"/>
        <v>6718133081.4730377</v>
      </c>
      <c r="Y81" s="17">
        <f t="shared" si="27"/>
        <v>6718.1330814730381</v>
      </c>
      <c r="Z81" s="12">
        <f t="shared" si="24"/>
        <v>2.865583908977603</v>
      </c>
      <c r="AA81" s="12">
        <f t="shared" si="25"/>
        <v>1.6091080228541295</v>
      </c>
      <c r="AB81" s="12">
        <f t="shared" si="26"/>
        <v>1.003059483140587</v>
      </c>
    </row>
    <row r="82" spans="2:28" x14ac:dyDescent="0.3">
      <c r="B82">
        <v>2012</v>
      </c>
      <c r="C82">
        <v>8</v>
      </c>
      <c r="D82">
        <v>97.3</v>
      </c>
      <c r="G82" s="5">
        <f t="shared" si="17"/>
        <v>91.330058508807596</v>
      </c>
      <c r="H82" s="7">
        <v>97.273399999999995</v>
      </c>
      <c r="K82" s="5">
        <f t="shared" si="18"/>
        <v>98.334353928118972</v>
      </c>
      <c r="L82">
        <v>160.82</v>
      </c>
      <c r="N82" s="5">
        <v>82.4</v>
      </c>
      <c r="O82" s="5">
        <f t="shared" si="19"/>
        <v>51.237408282551925</v>
      </c>
      <c r="P82" s="5">
        <v>201629.16745546399</v>
      </c>
      <c r="Q82" s="5">
        <f t="shared" si="20"/>
        <v>201.629167455464</v>
      </c>
      <c r="R82">
        <v>85.952023360000027</v>
      </c>
      <c r="S82" s="5">
        <f t="shared" si="21"/>
        <v>287.58119081546403</v>
      </c>
      <c r="T82" s="5">
        <f t="shared" si="22"/>
        <v>178.82178262371846</v>
      </c>
      <c r="U82">
        <v>121.77621002000001</v>
      </c>
      <c r="V82" s="12">
        <f t="shared" si="23"/>
        <v>75.722055726899654</v>
      </c>
      <c r="W82" s="12"/>
      <c r="X82" s="17">
        <f t="shared" si="28"/>
        <v>6718133081.4730377</v>
      </c>
      <c r="Y82" s="17">
        <f t="shared" si="27"/>
        <v>6718.1330814730381</v>
      </c>
      <c r="Z82" s="12">
        <f t="shared" si="24"/>
        <v>2.6617779144159117</v>
      </c>
      <c r="AA82" s="12">
        <f t="shared" si="25"/>
        <v>1.8126495641449691</v>
      </c>
      <c r="AB82" s="12">
        <f t="shared" si="26"/>
        <v>1.1271294392146307</v>
      </c>
    </row>
    <row r="83" spans="2:28" x14ac:dyDescent="0.3">
      <c r="B83">
        <v>2012</v>
      </c>
      <c r="C83">
        <v>9</v>
      </c>
      <c r="D83">
        <v>97.45</v>
      </c>
      <c r="G83" s="5">
        <f t="shared" si="17"/>
        <v>91.470855104658796</v>
      </c>
      <c r="H83" s="7">
        <v>97.221699999999998</v>
      </c>
      <c r="K83" s="5">
        <f t="shared" si="18"/>
        <v>98.282090039963691</v>
      </c>
      <c r="L83">
        <v>161.88</v>
      </c>
      <c r="N83" s="5">
        <v>82.9</v>
      </c>
      <c r="O83" s="5">
        <f t="shared" si="19"/>
        <v>51.210773412404251</v>
      </c>
      <c r="P83" s="5">
        <v>176482.36815386801</v>
      </c>
      <c r="Q83" s="5">
        <f t="shared" si="20"/>
        <v>176.48236815386801</v>
      </c>
      <c r="R83">
        <v>99.208907249999996</v>
      </c>
      <c r="S83" s="5">
        <f t="shared" si="21"/>
        <v>275.69127540386802</v>
      </c>
      <c r="T83" s="5">
        <f t="shared" si="22"/>
        <v>170.3059521891945</v>
      </c>
      <c r="U83">
        <v>110.51294333000001</v>
      </c>
      <c r="V83" s="12">
        <f t="shared" si="23"/>
        <v>68.268435464541639</v>
      </c>
      <c r="W83" s="12"/>
      <c r="X83" s="17">
        <f t="shared" si="28"/>
        <v>6718133081.4730377</v>
      </c>
      <c r="Y83" s="17">
        <f t="shared" si="27"/>
        <v>6718.1330814730381</v>
      </c>
      <c r="Z83" s="12">
        <f t="shared" si="24"/>
        <v>2.5350190316839138</v>
      </c>
      <c r="AA83" s="12">
        <f t="shared" si="25"/>
        <v>1.6449948518401278</v>
      </c>
      <c r="AB83" s="12">
        <f t="shared" si="26"/>
        <v>1.0161816480356607</v>
      </c>
    </row>
    <row r="84" spans="2:28" x14ac:dyDescent="0.3">
      <c r="B84">
        <v>2012</v>
      </c>
      <c r="C84">
        <v>10</v>
      </c>
      <c r="D84">
        <v>97.44</v>
      </c>
      <c r="G84" s="5">
        <f t="shared" si="17"/>
        <v>91.461468664935381</v>
      </c>
      <c r="H84" s="7">
        <v>97.531099999999995</v>
      </c>
      <c r="K84" s="5">
        <f t="shared" si="18"/>
        <v>98.594864643353304</v>
      </c>
      <c r="L84">
        <v>162.66999999999999</v>
      </c>
      <c r="N84" s="5">
        <v>87.3</v>
      </c>
      <c r="O84" s="5">
        <f t="shared" si="19"/>
        <v>53.666933054650521</v>
      </c>
      <c r="P84" s="5">
        <v>202060.41055033801</v>
      </c>
      <c r="Q84" s="5">
        <f t="shared" si="20"/>
        <v>202.06041055033802</v>
      </c>
      <c r="R84">
        <v>99.753950790000005</v>
      </c>
      <c r="S84" s="5">
        <f t="shared" si="21"/>
        <v>301.814361340338</v>
      </c>
      <c r="T84" s="5">
        <f t="shared" si="22"/>
        <v>185.53781357370013</v>
      </c>
      <c r="U84">
        <v>135.99298286999999</v>
      </c>
      <c r="V84" s="12">
        <f t="shared" si="23"/>
        <v>83.60053044199914</v>
      </c>
      <c r="W84" s="12"/>
      <c r="X84" s="17">
        <f t="shared" si="28"/>
        <v>6718133081.4730377</v>
      </c>
      <c r="Y84" s="17">
        <f t="shared" si="27"/>
        <v>6718.1330814730381</v>
      </c>
      <c r="Z84" s="12">
        <f t="shared" si="24"/>
        <v>2.7617466240043362</v>
      </c>
      <c r="AA84" s="12">
        <f t="shared" si="25"/>
        <v>2.0242674746208178</v>
      </c>
      <c r="AB84" s="12">
        <f t="shared" si="26"/>
        <v>1.2444012261761959</v>
      </c>
    </row>
    <row r="85" spans="2:28" x14ac:dyDescent="0.3">
      <c r="B85">
        <v>2012</v>
      </c>
      <c r="C85">
        <v>11</v>
      </c>
      <c r="D85">
        <v>96.8</v>
      </c>
      <c r="G85" s="5">
        <f t="shared" si="17"/>
        <v>90.860736522636955</v>
      </c>
      <c r="H85" s="7">
        <v>97.9084</v>
      </c>
      <c r="K85" s="5">
        <f t="shared" si="18"/>
        <v>98.976279827124827</v>
      </c>
      <c r="L85">
        <v>164.23</v>
      </c>
      <c r="N85" s="5">
        <v>82.8</v>
      </c>
      <c r="O85" s="5">
        <f t="shared" si="19"/>
        <v>50.41709797235584</v>
      </c>
      <c r="P85" s="5">
        <v>199162.42194708099</v>
      </c>
      <c r="Q85" s="5">
        <f t="shared" si="20"/>
        <v>199.16242194708099</v>
      </c>
      <c r="R85">
        <v>96.141188259999964</v>
      </c>
      <c r="S85" s="5">
        <f t="shared" si="21"/>
        <v>295.30361020708096</v>
      </c>
      <c r="T85" s="5">
        <f t="shared" si="22"/>
        <v>179.81100298793217</v>
      </c>
      <c r="U85">
        <v>105.24764540000001</v>
      </c>
      <c r="V85" s="12">
        <f t="shared" si="23"/>
        <v>64.085517505936807</v>
      </c>
      <c r="W85" s="12"/>
      <c r="X85" s="17">
        <f t="shared" si="28"/>
        <v>6718133081.4730377</v>
      </c>
      <c r="Y85" s="17">
        <f t="shared" si="27"/>
        <v>6718.1330814730381</v>
      </c>
      <c r="Z85" s="12">
        <f t="shared" si="24"/>
        <v>2.6765025462774288</v>
      </c>
      <c r="AA85" s="12">
        <f t="shared" si="25"/>
        <v>1.5666204304622542</v>
      </c>
      <c r="AB85" s="12">
        <f t="shared" si="26"/>
        <v>0.95391854744093907</v>
      </c>
    </row>
    <row r="86" spans="2:28" x14ac:dyDescent="0.3">
      <c r="B86">
        <v>2012</v>
      </c>
      <c r="C86">
        <v>12</v>
      </c>
      <c r="D86">
        <v>95.61</v>
      </c>
      <c r="G86" s="5">
        <f t="shared" si="17"/>
        <v>89.743750195550817</v>
      </c>
      <c r="H86" s="7">
        <v>98.188400000000001</v>
      </c>
      <c r="K86" s="5">
        <f t="shared" si="18"/>
        <v>99.259333766843937</v>
      </c>
      <c r="L86">
        <v>166.93</v>
      </c>
      <c r="N86" s="5">
        <v>103.6</v>
      </c>
      <c r="O86" s="5">
        <f t="shared" si="19"/>
        <v>62.061942131432332</v>
      </c>
      <c r="P86" s="5">
        <v>146213.497846004</v>
      </c>
      <c r="Q86" s="5">
        <f t="shared" si="20"/>
        <v>146.213497846004</v>
      </c>
      <c r="R86">
        <v>118.20228429999997</v>
      </c>
      <c r="S86" s="5">
        <f t="shared" si="21"/>
        <v>264.41578214600395</v>
      </c>
      <c r="T86" s="5">
        <f t="shared" si="22"/>
        <v>158.39919855388723</v>
      </c>
      <c r="U86">
        <v>90.579523139999992</v>
      </c>
      <c r="V86" s="12">
        <f t="shared" si="23"/>
        <v>54.261979955670036</v>
      </c>
      <c r="W86" s="12"/>
      <c r="X86" s="17">
        <f t="shared" si="28"/>
        <v>6718133081.4730377</v>
      </c>
      <c r="Y86" s="17">
        <f t="shared" si="27"/>
        <v>6718.1330814730381</v>
      </c>
      <c r="Z86" s="12">
        <f t="shared" si="24"/>
        <v>2.3577859597737554</v>
      </c>
      <c r="AA86" s="12">
        <f t="shared" si="25"/>
        <v>1.3482841444417957</v>
      </c>
      <c r="AB86" s="12">
        <f t="shared" si="26"/>
        <v>0.80769432962427101</v>
      </c>
    </row>
    <row r="87" spans="2:28" s="9" customFormat="1" x14ac:dyDescent="0.3">
      <c r="B87" s="9">
        <v>2013</v>
      </c>
      <c r="C87" s="9">
        <v>1</v>
      </c>
      <c r="D87" s="9">
        <v>95.29</v>
      </c>
      <c r="G87" s="9">
        <f t="shared" si="17"/>
        <v>89.443384124401604</v>
      </c>
      <c r="H87" s="10">
        <v>98.173599999999993</v>
      </c>
      <c r="K87" s="9">
        <f t="shared" si="18"/>
        <v>99.24437234431592</v>
      </c>
      <c r="L87" s="9">
        <v>168.91</v>
      </c>
      <c r="M87" s="9">
        <f>AVERAGE(L87:L98)</f>
        <v>172.60416666666666</v>
      </c>
      <c r="N87" s="9">
        <v>83.4</v>
      </c>
      <c r="O87" s="9">
        <f t="shared" si="19"/>
        <v>49.375407021490744</v>
      </c>
      <c r="P87" s="9">
        <v>173363.57612743301</v>
      </c>
      <c r="Q87" s="9">
        <f t="shared" si="20"/>
        <v>173.36357612743302</v>
      </c>
      <c r="R87" s="9">
        <v>120.00680046999999</v>
      </c>
      <c r="S87" s="9">
        <f t="shared" si="21"/>
        <v>293.37037659743299</v>
      </c>
      <c r="T87" s="9">
        <f t="shared" si="22"/>
        <v>173.68443348376829</v>
      </c>
      <c r="U87" s="9">
        <v>103.01479656000001</v>
      </c>
      <c r="V87" s="13">
        <f t="shared" si="23"/>
        <v>60.98797972884968</v>
      </c>
      <c r="W87" s="13">
        <v>10982988249.210323</v>
      </c>
      <c r="X87" s="15">
        <f t="shared" ref="X87:X98" si="29">($W$87/$L$87)*100</f>
        <v>6502272363.5133047</v>
      </c>
      <c r="Y87" s="15">
        <f t="shared" si="27"/>
        <v>6502.2723635133043</v>
      </c>
      <c r="Z87" s="13">
        <f t="shared" si="24"/>
        <v>2.6711343938524776</v>
      </c>
      <c r="AA87" s="13">
        <f t="shared" si="25"/>
        <v>1.5842891654009261</v>
      </c>
      <c r="AB87" s="13">
        <f t="shared" si="26"/>
        <v>0.93794870960921561</v>
      </c>
    </row>
    <row r="88" spans="2:28" x14ac:dyDescent="0.3">
      <c r="B88">
        <v>2013</v>
      </c>
      <c r="C88">
        <v>2</v>
      </c>
      <c r="D88">
        <v>95.74</v>
      </c>
      <c r="G88" s="5">
        <f t="shared" si="17"/>
        <v>89.865773911955174</v>
      </c>
      <c r="H88" s="7">
        <v>98.6434</v>
      </c>
      <c r="K88" s="5">
        <f t="shared" si="18"/>
        <v>99.719296418887495</v>
      </c>
      <c r="L88">
        <v>169.93</v>
      </c>
      <c r="N88" s="5">
        <v>83.7</v>
      </c>
      <c r="O88" s="5">
        <f t="shared" si="19"/>
        <v>49.255575825339847</v>
      </c>
      <c r="P88" s="5">
        <v>166654.98281955699</v>
      </c>
      <c r="Q88" s="5">
        <f t="shared" si="20"/>
        <v>166.65498281955698</v>
      </c>
      <c r="R88">
        <v>91.801083649999967</v>
      </c>
      <c r="S88" s="5">
        <f t="shared" si="21"/>
        <v>258.45606646955696</v>
      </c>
      <c r="T88" s="5">
        <f t="shared" si="22"/>
        <v>152.09560787945443</v>
      </c>
      <c r="U88">
        <v>97.026492340000004</v>
      </c>
      <c r="V88" s="12">
        <f t="shared" si="23"/>
        <v>57.097918166303771</v>
      </c>
      <c r="W88" s="12"/>
      <c r="X88" s="17">
        <f t="shared" si="29"/>
        <v>6502272363.5133047</v>
      </c>
      <c r="Y88" s="17">
        <f t="shared" si="27"/>
        <v>6502.2723635133043</v>
      </c>
      <c r="Z88" s="12">
        <f t="shared" si="24"/>
        <v>2.3391146875501567</v>
      </c>
      <c r="AA88" s="12">
        <f t="shared" si="25"/>
        <v>1.4921936042613679</v>
      </c>
      <c r="AB88" s="12">
        <f t="shared" si="26"/>
        <v>0.87812252354579401</v>
      </c>
    </row>
    <row r="89" spans="2:28" x14ac:dyDescent="0.3">
      <c r="B89">
        <v>2013</v>
      </c>
      <c r="C89">
        <v>3</v>
      </c>
      <c r="D89">
        <v>95.55</v>
      </c>
      <c r="G89" s="5">
        <f t="shared" si="17"/>
        <v>89.687431557210331</v>
      </c>
      <c r="H89" s="7">
        <v>99.046999999999997</v>
      </c>
      <c r="K89" s="5">
        <f t="shared" si="18"/>
        <v>100.12729845485404</v>
      </c>
      <c r="L89">
        <v>170.16</v>
      </c>
      <c r="N89" s="5">
        <v>90.2</v>
      </c>
      <c r="O89" s="5">
        <f t="shared" si="19"/>
        <v>53.008932769158449</v>
      </c>
      <c r="P89" s="5">
        <v>171461.23039164001</v>
      </c>
      <c r="Q89" s="5">
        <f t="shared" si="20"/>
        <v>171.46123039164002</v>
      </c>
      <c r="R89">
        <v>98.374508330000012</v>
      </c>
      <c r="S89" s="5">
        <f t="shared" si="21"/>
        <v>269.83573872164004</v>
      </c>
      <c r="T89" s="5">
        <f t="shared" si="22"/>
        <v>158.57765557219091</v>
      </c>
      <c r="U89">
        <v>127.1410168</v>
      </c>
      <c r="V89" s="12">
        <f t="shared" si="23"/>
        <v>74.718510108133529</v>
      </c>
      <c r="W89" s="12"/>
      <c r="X89" s="17">
        <f t="shared" si="29"/>
        <v>6502272363.5133047</v>
      </c>
      <c r="Y89" s="17">
        <f t="shared" si="27"/>
        <v>6502.2723635133043</v>
      </c>
      <c r="Z89" s="12">
        <f t="shared" si="24"/>
        <v>2.4388036475068282</v>
      </c>
      <c r="AA89" s="12">
        <f t="shared" si="25"/>
        <v>1.955332069961204</v>
      </c>
      <c r="AB89" s="12">
        <f t="shared" si="26"/>
        <v>1.149113816385287</v>
      </c>
    </row>
    <row r="90" spans="2:28" x14ac:dyDescent="0.3">
      <c r="B90">
        <v>2013</v>
      </c>
      <c r="C90">
        <v>4</v>
      </c>
      <c r="D90">
        <v>94.76</v>
      </c>
      <c r="G90" s="5">
        <f t="shared" si="17"/>
        <v>88.94590281906072</v>
      </c>
      <c r="H90" s="7">
        <v>98.944500000000005</v>
      </c>
      <c r="K90" s="5">
        <f t="shared" si="18"/>
        <v>100.0236804947783</v>
      </c>
      <c r="L90">
        <v>171.24</v>
      </c>
      <c r="N90" s="5">
        <v>90.7</v>
      </c>
      <c r="O90" s="5">
        <f t="shared" si="19"/>
        <v>52.966596589581869</v>
      </c>
      <c r="P90" s="5">
        <v>196007.17960546701</v>
      </c>
      <c r="Q90" s="5">
        <f t="shared" si="20"/>
        <v>196.007179605467</v>
      </c>
      <c r="R90">
        <v>98.344660880000006</v>
      </c>
      <c r="S90" s="5">
        <f t="shared" si="21"/>
        <v>294.35184048546699</v>
      </c>
      <c r="T90" s="5">
        <f t="shared" si="22"/>
        <v>171.89432403963266</v>
      </c>
      <c r="U90">
        <v>132.82227230999999</v>
      </c>
      <c r="V90" s="12">
        <f t="shared" si="23"/>
        <v>77.564980325858429</v>
      </c>
      <c r="W90" s="12"/>
      <c r="X90" s="17">
        <f t="shared" si="29"/>
        <v>6502272363.5133047</v>
      </c>
      <c r="Y90" s="17">
        <f t="shared" si="27"/>
        <v>6502.2723635133043</v>
      </c>
      <c r="Z90" s="12">
        <f t="shared" si="24"/>
        <v>2.64360387307361</v>
      </c>
      <c r="AA90" s="12">
        <f t="shared" si="25"/>
        <v>2.042705455639104</v>
      </c>
      <c r="AB90" s="12">
        <f t="shared" si="26"/>
        <v>1.1928903618541835</v>
      </c>
    </row>
    <row r="91" spans="2:28" x14ac:dyDescent="0.3">
      <c r="B91">
        <v>2013</v>
      </c>
      <c r="C91">
        <v>5</v>
      </c>
      <c r="D91">
        <v>94.35</v>
      </c>
      <c r="G91" s="5">
        <f t="shared" si="17"/>
        <v>88.561058790400779</v>
      </c>
      <c r="H91" s="7">
        <v>99.038300000000007</v>
      </c>
      <c r="K91" s="5">
        <f t="shared" si="18"/>
        <v>100.11850356458422</v>
      </c>
      <c r="L91">
        <v>172.94</v>
      </c>
      <c r="N91" s="5">
        <v>92.7</v>
      </c>
      <c r="O91" s="5">
        <f t="shared" si="19"/>
        <v>53.602405458540538</v>
      </c>
      <c r="P91" s="5">
        <v>182686.60255459501</v>
      </c>
      <c r="Q91" s="5">
        <f t="shared" si="20"/>
        <v>182.686602554595</v>
      </c>
      <c r="R91">
        <v>90.97418734</v>
      </c>
      <c r="S91" s="5">
        <f t="shared" si="21"/>
        <v>273.66078989459498</v>
      </c>
      <c r="T91" s="5">
        <f t="shared" si="22"/>
        <v>158.24030871666184</v>
      </c>
      <c r="U91">
        <v>123.22649611999999</v>
      </c>
      <c r="V91" s="12">
        <f t="shared" si="23"/>
        <v>71.253900844223423</v>
      </c>
      <c r="W91" s="12"/>
      <c r="X91" s="17">
        <f t="shared" si="29"/>
        <v>6502272363.5133047</v>
      </c>
      <c r="Y91" s="17">
        <f t="shared" si="27"/>
        <v>6502.2723635133043</v>
      </c>
      <c r="Z91" s="12">
        <f t="shared" si="24"/>
        <v>2.4336155096271841</v>
      </c>
      <c r="AA91" s="12">
        <f t="shared" si="25"/>
        <v>1.8951297212874412</v>
      </c>
      <c r="AB91" s="12">
        <f t="shared" si="26"/>
        <v>1.0958307628584718</v>
      </c>
    </row>
    <row r="92" spans="2:28" x14ac:dyDescent="0.3">
      <c r="B92">
        <v>2013</v>
      </c>
      <c r="C92">
        <v>6</v>
      </c>
      <c r="D92">
        <v>94.96</v>
      </c>
      <c r="G92" s="5">
        <f t="shared" si="17"/>
        <v>89.133631613528976</v>
      </c>
      <c r="H92" s="7">
        <v>99.222099999999998</v>
      </c>
      <c r="K92" s="5">
        <f t="shared" si="18"/>
        <v>100.30430825787126</v>
      </c>
      <c r="L92">
        <v>173.25</v>
      </c>
      <c r="N92" s="5">
        <v>80.900000000000006</v>
      </c>
      <c r="O92" s="5">
        <f t="shared" si="19"/>
        <v>46.695526695526702</v>
      </c>
      <c r="P92" s="5">
        <v>192701.629819922</v>
      </c>
      <c r="Q92" s="5">
        <f t="shared" si="20"/>
        <v>192.701629819922</v>
      </c>
      <c r="R92">
        <v>85.986401160000014</v>
      </c>
      <c r="S92" s="5">
        <f t="shared" si="21"/>
        <v>278.68803097992202</v>
      </c>
      <c r="T92" s="5">
        <f t="shared" si="22"/>
        <v>160.85889234050333</v>
      </c>
      <c r="U92">
        <v>112.56396414999998</v>
      </c>
      <c r="V92" s="12">
        <f t="shared" si="23"/>
        <v>64.971985079365069</v>
      </c>
      <c r="W92" s="12"/>
      <c r="X92" s="17">
        <f t="shared" si="29"/>
        <v>6502272363.5133047</v>
      </c>
      <c r="Y92" s="17">
        <f t="shared" si="27"/>
        <v>6502.2723635133043</v>
      </c>
      <c r="Z92" s="12">
        <f t="shared" si="24"/>
        <v>2.4738873327291406</v>
      </c>
      <c r="AA92" s="12">
        <f t="shared" si="25"/>
        <v>1.7311480949589058</v>
      </c>
      <c r="AB92" s="12">
        <f t="shared" si="26"/>
        <v>0.99921967962996006</v>
      </c>
    </row>
    <row r="93" spans="2:28" x14ac:dyDescent="0.3">
      <c r="B93">
        <v>2013</v>
      </c>
      <c r="C93">
        <v>7</v>
      </c>
      <c r="D93">
        <v>96</v>
      </c>
      <c r="G93" s="5">
        <f t="shared" si="17"/>
        <v>90.109821344763915</v>
      </c>
      <c r="H93" s="7">
        <v>98.898700000000005</v>
      </c>
      <c r="K93" s="5">
        <f t="shared" si="18"/>
        <v>99.977380957495683</v>
      </c>
      <c r="L93">
        <v>172.7</v>
      </c>
      <c r="N93" s="5">
        <v>86.6</v>
      </c>
      <c r="O93" s="5">
        <f t="shared" si="19"/>
        <v>50.144759698899819</v>
      </c>
      <c r="P93" s="5">
        <v>210383.23081627599</v>
      </c>
      <c r="Q93" s="5">
        <f t="shared" si="20"/>
        <v>210.38323081627598</v>
      </c>
      <c r="R93">
        <v>92.619975829999959</v>
      </c>
      <c r="S93" s="5">
        <f t="shared" si="21"/>
        <v>303.00320664627594</v>
      </c>
      <c r="T93" s="5">
        <f t="shared" si="22"/>
        <v>175.45061183918699</v>
      </c>
      <c r="U93">
        <v>111.2039235</v>
      </c>
      <c r="V93" s="12">
        <f t="shared" si="23"/>
        <v>64.39138592935727</v>
      </c>
      <c r="W93" s="12"/>
      <c r="X93" s="17">
        <f t="shared" si="29"/>
        <v>6502272363.5133047</v>
      </c>
      <c r="Y93" s="17">
        <f t="shared" si="27"/>
        <v>6502.2723635133043</v>
      </c>
      <c r="Z93" s="12">
        <f t="shared" si="24"/>
        <v>2.6982968727010936</v>
      </c>
      <c r="AA93" s="12">
        <f t="shared" si="25"/>
        <v>1.7102317049037661</v>
      </c>
      <c r="AB93" s="12">
        <f t="shared" si="26"/>
        <v>0.99029050660322315</v>
      </c>
    </row>
    <row r="94" spans="2:28" x14ac:dyDescent="0.3">
      <c r="B94">
        <v>2013</v>
      </c>
      <c r="C94">
        <v>8</v>
      </c>
      <c r="D94">
        <v>96.14</v>
      </c>
      <c r="G94" s="5">
        <f t="shared" si="17"/>
        <v>90.241231500891701</v>
      </c>
      <c r="H94" s="7">
        <v>99.489699999999999</v>
      </c>
      <c r="K94" s="5">
        <f t="shared" si="18"/>
        <v>100.57482695168852</v>
      </c>
      <c r="L94">
        <v>173.59</v>
      </c>
      <c r="N94" s="5">
        <v>88.6</v>
      </c>
      <c r="O94" s="5">
        <f t="shared" si="19"/>
        <v>51.039806440463153</v>
      </c>
      <c r="P94" s="5">
        <v>241573.54179892901</v>
      </c>
      <c r="Q94" s="5">
        <f t="shared" si="20"/>
        <v>241.57354179892903</v>
      </c>
      <c r="R94">
        <v>92.215509779999991</v>
      </c>
      <c r="S94" s="5">
        <f t="shared" si="21"/>
        <v>333.78905157892905</v>
      </c>
      <c r="T94" s="5">
        <f t="shared" si="22"/>
        <v>192.28587567194484</v>
      </c>
      <c r="U94">
        <v>104.94915254999999</v>
      </c>
      <c r="V94" s="12">
        <f t="shared" si="23"/>
        <v>60.458063569330022</v>
      </c>
      <c r="W94" s="12"/>
      <c r="X94" s="17">
        <f t="shared" si="29"/>
        <v>6502272363.5133047</v>
      </c>
      <c r="Y94" s="17">
        <f t="shared" si="27"/>
        <v>6502.2723635133043</v>
      </c>
      <c r="Z94" s="12">
        <f t="shared" si="24"/>
        <v>2.9572104169449007</v>
      </c>
      <c r="AA94" s="12">
        <f t="shared" si="25"/>
        <v>1.6140380882675596</v>
      </c>
      <c r="AB94" s="12">
        <f t="shared" si="26"/>
        <v>0.92979900240080615</v>
      </c>
    </row>
    <row r="95" spans="2:28" x14ac:dyDescent="0.3">
      <c r="B95">
        <v>2013</v>
      </c>
      <c r="C95">
        <v>9</v>
      </c>
      <c r="D95">
        <v>96.49</v>
      </c>
      <c r="G95" s="5">
        <f t="shared" si="17"/>
        <v>90.569756891211142</v>
      </c>
      <c r="H95" s="7">
        <v>100.021</v>
      </c>
      <c r="K95" s="5">
        <f t="shared" si="18"/>
        <v>101.11192180230555</v>
      </c>
      <c r="L95">
        <v>173.78</v>
      </c>
      <c r="N95" s="5">
        <v>90.5</v>
      </c>
      <c r="O95" s="5">
        <f t="shared" si="19"/>
        <v>52.07733916446081</v>
      </c>
      <c r="P95" s="5">
        <v>212942.65422045701</v>
      </c>
      <c r="Q95" s="5">
        <f t="shared" si="20"/>
        <v>212.942654220457</v>
      </c>
      <c r="R95">
        <v>85.139718659999986</v>
      </c>
      <c r="S95" s="5">
        <f t="shared" si="21"/>
        <v>298.082372880457</v>
      </c>
      <c r="T95" s="5">
        <f t="shared" si="22"/>
        <v>171.528583772849</v>
      </c>
      <c r="U95">
        <v>103.28869141000001</v>
      </c>
      <c r="V95" s="12">
        <f t="shared" si="23"/>
        <v>59.436466457590065</v>
      </c>
      <c r="W95" s="12"/>
      <c r="X95" s="17">
        <f t="shared" si="29"/>
        <v>6502272363.5133047</v>
      </c>
      <c r="Y95" s="17">
        <f t="shared" si="27"/>
        <v>6502.2723635133043</v>
      </c>
      <c r="Z95" s="12">
        <f t="shared" si="24"/>
        <v>2.6379790661394069</v>
      </c>
      <c r="AA95" s="12">
        <f t="shared" si="25"/>
        <v>1.588501459729551</v>
      </c>
      <c r="AB95" s="12">
        <f t="shared" si="26"/>
        <v>0.91408761637101554</v>
      </c>
    </row>
    <row r="96" spans="2:28" x14ac:dyDescent="0.3">
      <c r="B96">
        <v>2013</v>
      </c>
      <c r="C96">
        <v>10</v>
      </c>
      <c r="D96">
        <v>97.06</v>
      </c>
      <c r="G96" s="5">
        <f t="shared" si="17"/>
        <v>91.104783955445683</v>
      </c>
      <c r="H96" s="7">
        <v>99.903700000000001</v>
      </c>
      <c r="K96" s="5">
        <f t="shared" si="18"/>
        <v>100.99334241970178</v>
      </c>
      <c r="L96">
        <v>173.78</v>
      </c>
      <c r="N96" s="5">
        <v>90.3</v>
      </c>
      <c r="O96" s="5">
        <f t="shared" si="19"/>
        <v>51.962251122108412</v>
      </c>
      <c r="P96" s="5">
        <v>235830.82022147</v>
      </c>
      <c r="Q96" s="5">
        <f t="shared" si="20"/>
        <v>235.83082022146999</v>
      </c>
      <c r="R96">
        <v>116.84038879000001</v>
      </c>
      <c r="S96" s="5">
        <f t="shared" si="21"/>
        <v>352.67120901147001</v>
      </c>
      <c r="T96" s="5">
        <f t="shared" si="22"/>
        <v>202.94119519592013</v>
      </c>
      <c r="U96">
        <v>95.631611410000005</v>
      </c>
      <c r="V96" s="12">
        <f t="shared" si="23"/>
        <v>55.0302747209115</v>
      </c>
      <c r="W96" s="12"/>
      <c r="X96" s="17">
        <f t="shared" si="29"/>
        <v>6502272363.5133047</v>
      </c>
      <c r="Y96" s="17">
        <f t="shared" si="27"/>
        <v>6502.2723635133043</v>
      </c>
      <c r="Z96" s="12">
        <f t="shared" si="24"/>
        <v>3.1210811213430478</v>
      </c>
      <c r="AA96" s="12">
        <f t="shared" si="25"/>
        <v>1.4707413972171475</v>
      </c>
      <c r="AB96" s="12">
        <f t="shared" si="26"/>
        <v>0.84632374106177211</v>
      </c>
    </row>
    <row r="97" spans="2:28" x14ac:dyDescent="0.3">
      <c r="B97">
        <v>2013</v>
      </c>
      <c r="C97">
        <v>11</v>
      </c>
      <c r="D97">
        <v>97.05</v>
      </c>
      <c r="G97" s="5">
        <f t="shared" si="17"/>
        <v>91.095397515722269</v>
      </c>
      <c r="H97" s="7">
        <v>100.15819999999999</v>
      </c>
      <c r="K97" s="5">
        <f t="shared" si="18"/>
        <v>101.25061823276791</v>
      </c>
      <c r="L97">
        <v>174.57</v>
      </c>
      <c r="N97" s="5">
        <v>89.1</v>
      </c>
      <c r="O97" s="5">
        <f t="shared" si="19"/>
        <v>51.039697542533077</v>
      </c>
      <c r="P97" s="5">
        <v>211276.45190880101</v>
      </c>
      <c r="Q97" s="5">
        <f t="shared" si="20"/>
        <v>211.27645190880102</v>
      </c>
      <c r="R97">
        <v>112.55812325999997</v>
      </c>
      <c r="S97" s="5">
        <f t="shared" si="21"/>
        <v>323.834575168801</v>
      </c>
      <c r="T97" s="5">
        <f t="shared" si="22"/>
        <v>185.50413883760152</v>
      </c>
      <c r="U97">
        <v>81.034284600000007</v>
      </c>
      <c r="V97" s="12">
        <f t="shared" si="23"/>
        <v>46.419364495617813</v>
      </c>
      <c r="W97" s="12"/>
      <c r="X97" s="17">
        <f t="shared" si="29"/>
        <v>6502272363.5133047</v>
      </c>
      <c r="Y97" s="17">
        <f t="shared" si="27"/>
        <v>6502.2723635133043</v>
      </c>
      <c r="Z97" s="12">
        <f t="shared" si="24"/>
        <v>2.8529124660870098</v>
      </c>
      <c r="AA97" s="12">
        <f t="shared" si="25"/>
        <v>1.2462456210649351</v>
      </c>
      <c r="AB97" s="12">
        <f t="shared" si="26"/>
        <v>0.71389449565500096</v>
      </c>
    </row>
    <row r="98" spans="2:28" x14ac:dyDescent="0.3">
      <c r="B98">
        <v>2013</v>
      </c>
      <c r="C98">
        <v>12</v>
      </c>
      <c r="D98">
        <v>96.36</v>
      </c>
      <c r="G98" s="5">
        <f t="shared" si="17"/>
        <v>90.447733174806785</v>
      </c>
      <c r="H98" s="7">
        <v>100.374</v>
      </c>
      <c r="K98" s="5">
        <f t="shared" si="18"/>
        <v>101.46877194773714</v>
      </c>
      <c r="L98">
        <v>176.4</v>
      </c>
      <c r="N98" s="5">
        <v>111</v>
      </c>
      <c r="O98" s="5">
        <f t="shared" si="19"/>
        <v>62.925170068027214</v>
      </c>
      <c r="P98" s="5">
        <v>163284.03468069801</v>
      </c>
      <c r="Q98" s="5">
        <f t="shared" si="20"/>
        <v>163.284034680698</v>
      </c>
      <c r="R98">
        <v>105.07733838</v>
      </c>
      <c r="S98" s="5">
        <f t="shared" si="21"/>
        <v>268.36137306069799</v>
      </c>
      <c r="T98" s="5">
        <f t="shared" si="22"/>
        <v>152.1322976534569</v>
      </c>
      <c r="U98">
        <v>81.197244530000006</v>
      </c>
      <c r="V98" s="12">
        <f t="shared" si="23"/>
        <v>46.030183973922902</v>
      </c>
      <c r="W98" s="12"/>
      <c r="X98" s="17">
        <f t="shared" si="29"/>
        <v>6502272363.5133047</v>
      </c>
      <c r="Y98" s="17">
        <f t="shared" si="27"/>
        <v>6502.2723635133043</v>
      </c>
      <c r="Z98" s="12">
        <f t="shared" si="24"/>
        <v>2.3396789483493254</v>
      </c>
      <c r="AA98" s="12">
        <f t="shared" si="25"/>
        <v>1.2487518207577444</v>
      </c>
      <c r="AB98" s="12">
        <f t="shared" si="26"/>
        <v>0.70790919544089814</v>
      </c>
    </row>
    <row r="99" spans="2:28" s="9" customFormat="1" x14ac:dyDescent="0.3">
      <c r="B99" s="9">
        <v>2014</v>
      </c>
      <c r="C99" s="9">
        <v>1</v>
      </c>
      <c r="D99" s="9">
        <v>96.53</v>
      </c>
      <c r="G99" s="9">
        <f t="shared" si="17"/>
        <v>90.607302650104799</v>
      </c>
      <c r="H99" s="10">
        <v>99.989900000000006</v>
      </c>
      <c r="K99" s="9">
        <f t="shared" si="18"/>
        <v>101.08048259685818</v>
      </c>
      <c r="L99" s="9">
        <v>177.68</v>
      </c>
      <c r="M99" s="9">
        <f>AVERAGE(L99:L110)</f>
        <v>183.02250000000001</v>
      </c>
      <c r="N99" s="9">
        <v>85.6</v>
      </c>
      <c r="O99" s="9">
        <f t="shared" si="19"/>
        <v>48.176497073390365</v>
      </c>
      <c r="P99" s="9">
        <v>208242.66527999999</v>
      </c>
      <c r="Q99" s="9">
        <f t="shared" si="20"/>
        <v>208.24266527999998</v>
      </c>
      <c r="R99" s="9">
        <v>138.89353668000001</v>
      </c>
      <c r="S99" s="9">
        <f t="shared" si="21"/>
        <v>347.13620195999999</v>
      </c>
      <c r="T99" s="9">
        <f t="shared" si="22"/>
        <v>195.37156796488065</v>
      </c>
      <c r="U99" s="9">
        <v>87.872053829999999</v>
      </c>
      <c r="V99" s="13">
        <f t="shared" si="23"/>
        <v>49.455230656235926</v>
      </c>
      <c r="W99" s="13">
        <v>11880438824.449419</v>
      </c>
      <c r="X99" s="15">
        <f t="shared" ref="X99:X110" si="30">($W$99/$L$99)*100</f>
        <v>6686424372.1574841</v>
      </c>
      <c r="Y99" s="15">
        <f t="shared" si="27"/>
        <v>6686.424372157484</v>
      </c>
      <c r="Z99" s="13">
        <f t="shared" si="24"/>
        <v>2.9219139721136309</v>
      </c>
      <c r="AA99" s="13">
        <f t="shared" si="25"/>
        <v>1.3141860124209652</v>
      </c>
      <c r="AB99" s="13">
        <f t="shared" si="26"/>
        <v>0.73963643202440632</v>
      </c>
    </row>
    <row r="100" spans="2:28" x14ac:dyDescent="0.3">
      <c r="B100">
        <v>2014</v>
      </c>
      <c r="C100">
        <v>2</v>
      </c>
      <c r="D100">
        <v>96.6</v>
      </c>
      <c r="G100" s="5">
        <f t="shared" si="17"/>
        <v>90.673007728168685</v>
      </c>
      <c r="H100" s="7">
        <v>100.7471</v>
      </c>
      <c r="K100" s="5">
        <f t="shared" si="18"/>
        <v>101.84594132241286</v>
      </c>
      <c r="L100">
        <v>178.86</v>
      </c>
      <c r="N100" s="5">
        <v>90</v>
      </c>
      <c r="O100" s="5">
        <f t="shared" si="19"/>
        <v>50.31868500503186</v>
      </c>
      <c r="P100" s="5">
        <v>190401.39291</v>
      </c>
      <c r="Q100" s="5">
        <f t="shared" si="20"/>
        <v>190.40139291</v>
      </c>
      <c r="R100">
        <v>104.76219218000001</v>
      </c>
      <c r="S100" s="5">
        <f t="shared" si="21"/>
        <v>295.16358509000003</v>
      </c>
      <c r="T100" s="5">
        <f t="shared" si="22"/>
        <v>165.02492736777367</v>
      </c>
      <c r="U100">
        <v>105.85717507000001</v>
      </c>
      <c r="V100" s="12">
        <f t="shared" si="23"/>
        <v>59.184376087442693</v>
      </c>
      <c r="W100" s="12"/>
      <c r="X100" s="17">
        <f t="shared" si="30"/>
        <v>6686424372.1574841</v>
      </c>
      <c r="Y100" s="17">
        <f t="shared" si="27"/>
        <v>6686.424372157484</v>
      </c>
      <c r="Z100" s="12">
        <f t="shared" si="24"/>
        <v>2.468059431808479</v>
      </c>
      <c r="AA100" s="12">
        <f t="shared" si="25"/>
        <v>1.5831656678985733</v>
      </c>
      <c r="AB100" s="12">
        <f t="shared" si="26"/>
        <v>0.88514238393076883</v>
      </c>
    </row>
    <row r="101" spans="2:28" x14ac:dyDescent="0.3">
      <c r="B101">
        <v>2014</v>
      </c>
      <c r="C101">
        <v>3</v>
      </c>
      <c r="D101">
        <v>97.11</v>
      </c>
      <c r="G101" s="5">
        <f t="shared" si="17"/>
        <v>91.151716154062754</v>
      </c>
      <c r="H101" s="7">
        <v>101.7435</v>
      </c>
      <c r="K101" s="5">
        <f t="shared" si="18"/>
        <v>102.85320898504187</v>
      </c>
      <c r="L101">
        <v>178.84</v>
      </c>
      <c r="N101" s="5">
        <v>101.6</v>
      </c>
      <c r="O101" s="5">
        <f t="shared" si="19"/>
        <v>56.81055692238872</v>
      </c>
      <c r="P101" s="5">
        <v>210201.05953</v>
      </c>
      <c r="Q101" s="5">
        <f t="shared" si="20"/>
        <v>210.20105953000001</v>
      </c>
      <c r="R101">
        <v>131.10332235000001</v>
      </c>
      <c r="S101" s="5">
        <f t="shared" si="21"/>
        <v>341.30438188000005</v>
      </c>
      <c r="T101" s="5">
        <f t="shared" si="22"/>
        <v>190.84342534108703</v>
      </c>
      <c r="U101">
        <v>136.71778323000001</v>
      </c>
      <c r="V101" s="12">
        <f t="shared" si="23"/>
        <v>76.446982347349589</v>
      </c>
      <c r="W101" s="12"/>
      <c r="X101" s="17">
        <f t="shared" si="30"/>
        <v>6686424372.1574841</v>
      </c>
      <c r="Y101" s="17">
        <f t="shared" si="27"/>
        <v>6686.424372157484</v>
      </c>
      <c r="Z101" s="12">
        <f t="shared" si="24"/>
        <v>2.8541925357858835</v>
      </c>
      <c r="AA101" s="12">
        <f t="shared" si="25"/>
        <v>2.0447069408172456</v>
      </c>
      <c r="AB101" s="12">
        <f t="shared" si="26"/>
        <v>1.1433163390836756</v>
      </c>
    </row>
    <row r="102" spans="2:28" x14ac:dyDescent="0.3">
      <c r="B102">
        <v>2014</v>
      </c>
      <c r="C102">
        <v>4</v>
      </c>
      <c r="D102">
        <v>96.86</v>
      </c>
      <c r="G102" s="5">
        <f t="shared" si="17"/>
        <v>90.917055160977426</v>
      </c>
      <c r="H102" s="7">
        <v>101.82729999999999</v>
      </c>
      <c r="K102" s="5">
        <f t="shared" si="18"/>
        <v>102.93792298557209</v>
      </c>
      <c r="L102">
        <v>179.63</v>
      </c>
      <c r="N102" s="5">
        <v>91.1</v>
      </c>
      <c r="O102" s="5">
        <f t="shared" si="19"/>
        <v>50.715359349774538</v>
      </c>
      <c r="P102" s="5">
        <v>200848.45181</v>
      </c>
      <c r="Q102" s="5">
        <f t="shared" si="20"/>
        <v>200.84845181</v>
      </c>
      <c r="R102">
        <v>97.026990119999994</v>
      </c>
      <c r="S102" s="5">
        <f t="shared" si="21"/>
        <v>297.87544192999997</v>
      </c>
      <c r="T102" s="5">
        <f t="shared" si="22"/>
        <v>165.82722369871402</v>
      </c>
      <c r="U102">
        <v>120.34094262999999</v>
      </c>
      <c r="V102" s="12">
        <f t="shared" si="23"/>
        <v>66.993788693425373</v>
      </c>
      <c r="W102" s="12"/>
      <c r="X102" s="17">
        <f t="shared" si="30"/>
        <v>6686424372.1574841</v>
      </c>
      <c r="Y102" s="17">
        <f t="shared" si="27"/>
        <v>6686.424372157484</v>
      </c>
      <c r="Z102" s="12">
        <f t="shared" si="24"/>
        <v>2.4800583162089542</v>
      </c>
      <c r="AA102" s="12">
        <f t="shared" si="25"/>
        <v>1.79978021034836</v>
      </c>
      <c r="AB102" s="12">
        <f t="shared" si="26"/>
        <v>1.0019374326940713</v>
      </c>
    </row>
    <row r="103" spans="2:28" x14ac:dyDescent="0.3">
      <c r="B103">
        <v>2014</v>
      </c>
      <c r="C103">
        <v>5</v>
      </c>
      <c r="D103">
        <v>96.66</v>
      </c>
      <c r="G103" s="5">
        <f t="shared" si="17"/>
        <v>90.72932636650917</v>
      </c>
      <c r="H103" s="7">
        <v>102.2392</v>
      </c>
      <c r="K103" s="5">
        <f t="shared" si="18"/>
        <v>103.35431554903747</v>
      </c>
      <c r="L103">
        <v>181.32</v>
      </c>
      <c r="N103" s="5">
        <v>98.5</v>
      </c>
      <c r="O103" s="5">
        <f t="shared" si="19"/>
        <v>54.323847341716302</v>
      </c>
      <c r="P103" s="5">
        <v>210112.64019999999</v>
      </c>
      <c r="Q103" s="5">
        <f t="shared" si="20"/>
        <v>210.11264019999999</v>
      </c>
      <c r="R103">
        <v>96.535028920000016</v>
      </c>
      <c r="S103" s="5">
        <f t="shared" si="21"/>
        <v>306.64766911999999</v>
      </c>
      <c r="T103" s="5">
        <f t="shared" si="22"/>
        <v>169.11960573571588</v>
      </c>
      <c r="U103">
        <v>142.38727747000002</v>
      </c>
      <c r="V103" s="12">
        <f t="shared" si="23"/>
        <v>78.528169793734847</v>
      </c>
      <c r="W103" s="12"/>
      <c r="X103" s="17">
        <f t="shared" si="30"/>
        <v>6686424372.1574841</v>
      </c>
      <c r="Y103" s="17">
        <f t="shared" si="27"/>
        <v>6686.424372157484</v>
      </c>
      <c r="Z103" s="12">
        <f t="shared" si="24"/>
        <v>2.5292981169417859</v>
      </c>
      <c r="AA103" s="12">
        <f t="shared" si="25"/>
        <v>2.1294980627150415</v>
      </c>
      <c r="AB103" s="12">
        <f t="shared" si="26"/>
        <v>1.1744419053138329</v>
      </c>
    </row>
    <row r="104" spans="2:28" x14ac:dyDescent="0.3">
      <c r="B104">
        <v>2014</v>
      </c>
      <c r="C104">
        <v>6</v>
      </c>
      <c r="D104">
        <v>96.18</v>
      </c>
      <c r="G104" s="5">
        <f t="shared" si="17"/>
        <v>90.278777259785358</v>
      </c>
      <c r="H104" s="7">
        <v>102.5774</v>
      </c>
      <c r="K104" s="5">
        <f t="shared" si="18"/>
        <v>103.69620427194106</v>
      </c>
      <c r="L104">
        <v>183.74</v>
      </c>
      <c r="N104" s="5">
        <v>88.4</v>
      </c>
      <c r="O104" s="5">
        <f t="shared" si="19"/>
        <v>48.111461848263851</v>
      </c>
      <c r="P104" s="5">
        <v>221172.39068000001</v>
      </c>
      <c r="Q104" s="5">
        <f t="shared" si="20"/>
        <v>221.17239068000001</v>
      </c>
      <c r="R104">
        <v>99.719144699999987</v>
      </c>
      <c r="S104" s="5">
        <f t="shared" si="21"/>
        <v>320.89153537999999</v>
      </c>
      <c r="T104" s="5">
        <f t="shared" si="22"/>
        <v>174.64435364101448</v>
      </c>
      <c r="U104">
        <v>142.21540720000002</v>
      </c>
      <c r="V104" s="12">
        <f t="shared" si="23"/>
        <v>77.400352236856435</v>
      </c>
      <c r="W104" s="12"/>
      <c r="X104" s="17">
        <f t="shared" si="30"/>
        <v>6686424372.1574841</v>
      </c>
      <c r="Y104" s="17">
        <f t="shared" si="27"/>
        <v>6686.424372157484</v>
      </c>
      <c r="Z104" s="12">
        <f t="shared" si="24"/>
        <v>2.6119244594800168</v>
      </c>
      <c r="AA104" s="12">
        <f t="shared" si="25"/>
        <v>2.1269276265531425</v>
      </c>
      <c r="AB104" s="12">
        <f t="shared" si="26"/>
        <v>1.1575746307571255</v>
      </c>
    </row>
    <row r="105" spans="2:28" x14ac:dyDescent="0.3">
      <c r="B105">
        <v>2014</v>
      </c>
      <c r="C105">
        <v>7</v>
      </c>
      <c r="D105">
        <v>96.29</v>
      </c>
      <c r="G105" s="5">
        <f t="shared" si="17"/>
        <v>90.3820280967429</v>
      </c>
      <c r="H105" s="7">
        <v>102.7954</v>
      </c>
      <c r="K105" s="5">
        <f t="shared" si="18"/>
        <v>103.91658198215093</v>
      </c>
      <c r="L105">
        <v>184.68</v>
      </c>
      <c r="N105" s="5">
        <v>92.6</v>
      </c>
      <c r="O105" s="5">
        <f t="shared" si="19"/>
        <v>50.140784058912715</v>
      </c>
      <c r="P105" s="5">
        <v>241660.20292000001</v>
      </c>
      <c r="Q105" s="5">
        <f t="shared" si="20"/>
        <v>241.66020292000002</v>
      </c>
      <c r="R105">
        <v>94.334641969999993</v>
      </c>
      <c r="S105" s="5">
        <f t="shared" si="21"/>
        <v>335.99484489000002</v>
      </c>
      <c r="T105" s="5">
        <f t="shared" si="22"/>
        <v>181.93353091293048</v>
      </c>
      <c r="U105">
        <v>130.1873392</v>
      </c>
      <c r="V105" s="12">
        <f t="shared" si="23"/>
        <v>70.493469352393319</v>
      </c>
      <c r="W105" s="12"/>
      <c r="X105" s="17">
        <f t="shared" si="30"/>
        <v>6686424372.1574841</v>
      </c>
      <c r="Y105" s="17">
        <f t="shared" si="27"/>
        <v>6686.424372157484</v>
      </c>
      <c r="Z105" s="12">
        <f t="shared" si="24"/>
        <v>2.7209390368716107</v>
      </c>
      <c r="AA105" s="12">
        <f t="shared" si="25"/>
        <v>1.9470397323583715</v>
      </c>
      <c r="AB105" s="12">
        <f t="shared" si="26"/>
        <v>1.0542775245605216</v>
      </c>
    </row>
    <row r="106" spans="2:28" x14ac:dyDescent="0.3">
      <c r="B106">
        <v>2014</v>
      </c>
      <c r="C106">
        <v>8</v>
      </c>
      <c r="D106">
        <v>96.24</v>
      </c>
      <c r="G106" s="5">
        <f t="shared" si="17"/>
        <v>90.335095898125829</v>
      </c>
      <c r="H106" s="7">
        <v>102.6322</v>
      </c>
      <c r="K106" s="5">
        <f t="shared" si="18"/>
        <v>103.75160197157179</v>
      </c>
      <c r="L106">
        <v>185.27</v>
      </c>
      <c r="N106" s="5">
        <v>92.2</v>
      </c>
      <c r="O106" s="5">
        <f t="shared" si="19"/>
        <v>49.765207534948992</v>
      </c>
      <c r="P106" s="5">
        <v>224988.32371</v>
      </c>
      <c r="Q106" s="5">
        <f t="shared" si="20"/>
        <v>224.98832371</v>
      </c>
      <c r="R106">
        <v>118.14108163</v>
      </c>
      <c r="S106" s="5">
        <f t="shared" si="21"/>
        <v>343.12940534000001</v>
      </c>
      <c r="T106" s="5">
        <f t="shared" si="22"/>
        <v>185.20505496842446</v>
      </c>
      <c r="U106">
        <v>105.81961378</v>
      </c>
      <c r="V106" s="12">
        <f t="shared" si="23"/>
        <v>57.116432115291197</v>
      </c>
      <c r="W106" s="12"/>
      <c r="X106" s="17">
        <f t="shared" si="30"/>
        <v>6686424372.1574841</v>
      </c>
      <c r="Y106" s="17">
        <f t="shared" si="27"/>
        <v>6686.424372157484</v>
      </c>
      <c r="Z106" s="12">
        <f t="shared" si="24"/>
        <v>2.7698668923801053</v>
      </c>
      <c r="AA106" s="12">
        <f t="shared" si="25"/>
        <v>1.5826039133955774</v>
      </c>
      <c r="AB106" s="12">
        <f t="shared" si="26"/>
        <v>0.85421488281728142</v>
      </c>
    </row>
    <row r="107" spans="2:28" x14ac:dyDescent="0.3">
      <c r="B107">
        <v>2014</v>
      </c>
      <c r="C107">
        <v>9</v>
      </c>
      <c r="D107">
        <v>96.56</v>
      </c>
      <c r="G107" s="5">
        <f t="shared" si="17"/>
        <v>90.635461969275042</v>
      </c>
      <c r="H107" s="7">
        <v>102.9417</v>
      </c>
      <c r="K107" s="5">
        <f t="shared" si="18"/>
        <v>104.06447766565417</v>
      </c>
      <c r="L107">
        <v>185.07</v>
      </c>
      <c r="N107" s="5">
        <v>94.7</v>
      </c>
      <c r="O107" s="5">
        <f t="shared" si="19"/>
        <v>51.169827632787602</v>
      </c>
      <c r="P107" s="5">
        <v>221839.96163000001</v>
      </c>
      <c r="Q107" s="5">
        <f t="shared" si="20"/>
        <v>221.83996163</v>
      </c>
      <c r="R107">
        <v>102.97982476999998</v>
      </c>
      <c r="S107" s="5">
        <f t="shared" si="21"/>
        <v>324.8197864</v>
      </c>
      <c r="T107" s="5">
        <f t="shared" si="22"/>
        <v>175.5118530285838</v>
      </c>
      <c r="U107">
        <v>112.98070734999999</v>
      </c>
      <c r="V107" s="12">
        <f t="shared" si="23"/>
        <v>61.047553547306421</v>
      </c>
      <c r="W107" s="12"/>
      <c r="X107" s="17">
        <f t="shared" si="30"/>
        <v>6686424372.1574841</v>
      </c>
      <c r="Y107" s="17">
        <f t="shared" si="27"/>
        <v>6686.424372157484</v>
      </c>
      <c r="Z107" s="12">
        <f t="shared" si="24"/>
        <v>2.6248984997036917</v>
      </c>
      <c r="AA107" s="12">
        <f t="shared" si="25"/>
        <v>1.6897029123735519</v>
      </c>
      <c r="AB107" s="12">
        <f t="shared" si="26"/>
        <v>0.91300746332390548</v>
      </c>
    </row>
    <row r="108" spans="2:28" x14ac:dyDescent="0.3">
      <c r="B108">
        <v>2014</v>
      </c>
      <c r="C108">
        <v>10</v>
      </c>
      <c r="D108">
        <v>96.82</v>
      </c>
      <c r="G108" s="5">
        <f t="shared" si="17"/>
        <v>90.879509402083769</v>
      </c>
      <c r="H108" s="7">
        <v>102.9611</v>
      </c>
      <c r="K108" s="5">
        <f t="shared" si="18"/>
        <v>104.084089260049</v>
      </c>
      <c r="L108">
        <v>185.39</v>
      </c>
      <c r="N108" s="5">
        <v>93.5</v>
      </c>
      <c r="O108" s="5">
        <f t="shared" si="19"/>
        <v>50.434219752953233</v>
      </c>
      <c r="P108" s="5">
        <v>237549.5031</v>
      </c>
      <c r="Q108" s="5">
        <f t="shared" si="20"/>
        <v>237.54950310000001</v>
      </c>
      <c r="R108">
        <v>105.73350070000001</v>
      </c>
      <c r="S108" s="5">
        <f t="shared" si="21"/>
        <v>343.28300380000002</v>
      </c>
      <c r="T108" s="5">
        <f t="shared" si="22"/>
        <v>185.16802621500622</v>
      </c>
      <c r="U108">
        <v>95.592124440000006</v>
      </c>
      <c r="V108" s="12">
        <f t="shared" si="23"/>
        <v>51.562718830573395</v>
      </c>
      <c r="W108" s="12"/>
      <c r="X108" s="17">
        <f t="shared" si="30"/>
        <v>6686424372.1574841</v>
      </c>
      <c r="Y108" s="17">
        <f t="shared" si="27"/>
        <v>6686.424372157484</v>
      </c>
      <c r="Z108" s="12">
        <f t="shared" si="24"/>
        <v>2.7693131023219624</v>
      </c>
      <c r="AA108" s="12">
        <f t="shared" si="25"/>
        <v>1.429644891192505</v>
      </c>
      <c r="AB108" s="12">
        <f t="shared" si="26"/>
        <v>0.77115534343411474</v>
      </c>
    </row>
    <row r="109" spans="2:28" x14ac:dyDescent="0.3">
      <c r="B109">
        <v>2014</v>
      </c>
      <c r="C109">
        <v>11</v>
      </c>
      <c r="D109">
        <v>95.59</v>
      </c>
      <c r="G109" s="5">
        <f t="shared" si="17"/>
        <v>89.724977316103988</v>
      </c>
      <c r="H109" s="7">
        <v>103.59780000000001</v>
      </c>
      <c r="K109" s="5">
        <f t="shared" si="18"/>
        <v>104.72773370083172</v>
      </c>
      <c r="L109">
        <v>187.96</v>
      </c>
      <c r="N109" s="5">
        <v>91</v>
      </c>
      <c r="O109" s="5">
        <f t="shared" si="19"/>
        <v>48.414556288572037</v>
      </c>
      <c r="P109" s="5">
        <v>190651.10642</v>
      </c>
      <c r="Q109" s="5">
        <f t="shared" si="20"/>
        <v>190.65110641999999</v>
      </c>
      <c r="R109">
        <v>124.48440577000002</v>
      </c>
      <c r="S109" s="5">
        <f t="shared" si="21"/>
        <v>315.13551218999999</v>
      </c>
      <c r="T109" s="5">
        <f t="shared" si="22"/>
        <v>167.66094498297508</v>
      </c>
      <c r="U109">
        <v>74.849626520000001</v>
      </c>
      <c r="V109" s="12">
        <f t="shared" si="23"/>
        <v>39.82210391572675</v>
      </c>
      <c r="W109" s="12"/>
      <c r="X109" s="17">
        <f t="shared" si="30"/>
        <v>6686424372.1574841</v>
      </c>
      <c r="Y109" s="17">
        <f t="shared" si="27"/>
        <v>6686.424372157484</v>
      </c>
      <c r="Z109" s="12">
        <f t="shared" si="24"/>
        <v>2.507482858568197</v>
      </c>
      <c r="AA109" s="12">
        <f t="shared" si="25"/>
        <v>1.1194268020390179</v>
      </c>
      <c r="AB109" s="12">
        <f t="shared" si="26"/>
        <v>0.59556650459620009</v>
      </c>
    </row>
    <row r="110" spans="2:28" x14ac:dyDescent="0.3">
      <c r="B110">
        <v>2014</v>
      </c>
      <c r="C110">
        <v>12</v>
      </c>
      <c r="D110">
        <v>95.55</v>
      </c>
      <c r="G110" s="5">
        <f t="shared" si="17"/>
        <v>89.687431557210331</v>
      </c>
      <c r="H110" s="7">
        <v>103.6151</v>
      </c>
      <c r="K110" s="5">
        <f t="shared" si="18"/>
        <v>104.74522239067865</v>
      </c>
      <c r="L110">
        <v>187.83</v>
      </c>
      <c r="N110" s="5">
        <v>116.6</v>
      </c>
      <c r="O110" s="5">
        <f t="shared" si="19"/>
        <v>62.077410424319858</v>
      </c>
      <c r="P110" s="5">
        <v>167244.26860000001</v>
      </c>
      <c r="Q110" s="5">
        <f t="shared" si="20"/>
        <v>167.2442686</v>
      </c>
      <c r="R110">
        <v>139.60173755</v>
      </c>
      <c r="S110" s="5">
        <f t="shared" si="21"/>
        <v>306.84600614999999</v>
      </c>
      <c r="T110" s="5">
        <f t="shared" si="22"/>
        <v>163.36368319757227</v>
      </c>
      <c r="U110">
        <v>88.442008679999986</v>
      </c>
      <c r="V110" s="12">
        <f t="shared" si="23"/>
        <v>47.086199584730863</v>
      </c>
      <c r="W110" s="12"/>
      <c r="X110" s="17">
        <f t="shared" si="30"/>
        <v>6686424372.1574841</v>
      </c>
      <c r="Y110" s="17">
        <f t="shared" si="27"/>
        <v>6686.424372157484</v>
      </c>
      <c r="Z110" s="12">
        <f t="shared" si="24"/>
        <v>2.4432144013745916</v>
      </c>
      <c r="AA110" s="12">
        <f t="shared" si="25"/>
        <v>1.322710072789812</v>
      </c>
      <c r="AB110" s="12">
        <f t="shared" si="26"/>
        <v>0.70420596964798587</v>
      </c>
    </row>
    <row r="111" spans="2:28" s="9" customFormat="1" x14ac:dyDescent="0.3">
      <c r="B111" s="9">
        <v>2015</v>
      </c>
      <c r="C111" s="9">
        <v>1</v>
      </c>
      <c r="D111" s="9">
        <v>95.81</v>
      </c>
      <c r="G111" s="9">
        <f t="shared" si="17"/>
        <v>89.931478990019073</v>
      </c>
      <c r="H111" s="10">
        <v>102.7923</v>
      </c>
      <c r="K111" s="9">
        <f t="shared" si="18"/>
        <v>103.91344817067547</v>
      </c>
      <c r="L111" s="9">
        <v>187.36</v>
      </c>
      <c r="M111" s="9">
        <f>AVERAGE(L111:L122)</f>
        <v>190.33833333333334</v>
      </c>
      <c r="N111" s="9">
        <v>88.9</v>
      </c>
      <c r="O111" s="9">
        <f t="shared" si="19"/>
        <v>47.448761742100771</v>
      </c>
      <c r="P111" s="9">
        <v>195784.15560999999</v>
      </c>
      <c r="Q111" s="9">
        <f t="shared" si="20"/>
        <v>195.78415561</v>
      </c>
      <c r="R111" s="9">
        <v>107.40022094999999</v>
      </c>
      <c r="S111" s="9">
        <f t="shared" si="21"/>
        <v>303.18437655999998</v>
      </c>
      <c r="T111" s="9">
        <f t="shared" si="22"/>
        <v>161.81915913748929</v>
      </c>
      <c r="U111" s="9">
        <v>90.115227640000001</v>
      </c>
      <c r="V111" s="13">
        <f t="shared" si="23"/>
        <v>48.097367442356962</v>
      </c>
      <c r="W111" s="13">
        <v>12756696261.067633</v>
      </c>
      <c r="X111" s="15">
        <f t="shared" ref="X111:X122" si="31">($W$111/$L$111)*100</f>
        <v>6808655135.0702553</v>
      </c>
      <c r="Y111" s="15">
        <f t="shared" si="27"/>
        <v>6808.6551350702557</v>
      </c>
      <c r="Z111" s="13">
        <f t="shared" si="24"/>
        <v>2.3766684598840317</v>
      </c>
      <c r="AA111" s="13">
        <f t="shared" si="25"/>
        <v>1.3235393165359688</v>
      </c>
      <c r="AB111" s="13">
        <f t="shared" si="26"/>
        <v>0.70641509208794229</v>
      </c>
    </row>
    <row r="112" spans="2:28" x14ac:dyDescent="0.3">
      <c r="B112">
        <v>2015</v>
      </c>
      <c r="C112">
        <v>2</v>
      </c>
      <c r="D112">
        <v>95.61</v>
      </c>
      <c r="G112" s="5">
        <f t="shared" si="17"/>
        <v>89.743750195550817</v>
      </c>
      <c r="H112" s="7">
        <v>102.1366</v>
      </c>
      <c r="K112" s="5">
        <f t="shared" si="18"/>
        <v>103.25059649826896</v>
      </c>
      <c r="L112">
        <v>188.71</v>
      </c>
      <c r="N112" s="5">
        <v>94.1</v>
      </c>
      <c r="O112" s="5">
        <f t="shared" si="19"/>
        <v>49.864872025859782</v>
      </c>
      <c r="P112" s="5">
        <v>172218.43158999601</v>
      </c>
      <c r="Q112" s="5">
        <f t="shared" si="20"/>
        <v>172.21843158999602</v>
      </c>
      <c r="R112">
        <v>104.43866920000001</v>
      </c>
      <c r="S112" s="5">
        <f t="shared" si="21"/>
        <v>276.65710078999604</v>
      </c>
      <c r="T112" s="5">
        <f t="shared" si="22"/>
        <v>146.60436690689207</v>
      </c>
      <c r="U112">
        <v>113.74801976000001</v>
      </c>
      <c r="V112" s="12">
        <f t="shared" si="23"/>
        <v>60.276625382862591</v>
      </c>
      <c r="W112" s="12"/>
      <c r="X112" s="17">
        <f t="shared" si="31"/>
        <v>6808655135.0702553</v>
      </c>
      <c r="Y112" s="17">
        <f t="shared" si="27"/>
        <v>6808.6551350702557</v>
      </c>
      <c r="Z112" s="12">
        <f t="shared" si="24"/>
        <v>2.1532059415339933</v>
      </c>
      <c r="AA112" s="12">
        <f t="shared" si="25"/>
        <v>1.6706385843233973</v>
      </c>
      <c r="AB112" s="12">
        <f t="shared" si="26"/>
        <v>0.8852941467454809</v>
      </c>
    </row>
    <row r="113" spans="2:28" x14ac:dyDescent="0.3">
      <c r="B113">
        <v>2015</v>
      </c>
      <c r="C113">
        <v>3</v>
      </c>
      <c r="D113">
        <v>95.79</v>
      </c>
      <c r="G113" s="5">
        <f t="shared" si="17"/>
        <v>89.912706110572259</v>
      </c>
      <c r="H113" s="7">
        <v>101.7869</v>
      </c>
      <c r="K113" s="5">
        <f t="shared" si="18"/>
        <v>102.89708234569834</v>
      </c>
      <c r="L113">
        <v>189.44</v>
      </c>
      <c r="N113" s="5">
        <v>106.2</v>
      </c>
      <c r="O113" s="5">
        <f t="shared" si="19"/>
        <v>56.059966216216218</v>
      </c>
      <c r="P113" s="5">
        <v>212254.26720999999</v>
      </c>
      <c r="Q113" s="5">
        <f t="shared" si="20"/>
        <v>212.25426720999999</v>
      </c>
      <c r="R113">
        <v>115.49647784000001</v>
      </c>
      <c r="S113" s="5">
        <f t="shared" si="21"/>
        <v>327.75074504999998</v>
      </c>
      <c r="T113" s="5">
        <f t="shared" si="22"/>
        <v>173.01031727723816</v>
      </c>
      <c r="U113">
        <v>145.43249402999999</v>
      </c>
      <c r="V113" s="12">
        <f t="shared" si="23"/>
        <v>76.769686460092899</v>
      </c>
      <c r="W113" s="12"/>
      <c r="X113" s="17">
        <f t="shared" si="31"/>
        <v>6808655135.0702553</v>
      </c>
      <c r="Y113" s="17">
        <f t="shared" si="27"/>
        <v>6808.6551350702557</v>
      </c>
      <c r="Z113" s="12">
        <f t="shared" si="24"/>
        <v>2.5410351067142565</v>
      </c>
      <c r="AA113" s="12">
        <f t="shared" si="25"/>
        <v>2.1359944239340494</v>
      </c>
      <c r="AB113" s="12">
        <f t="shared" si="26"/>
        <v>1.1275308403368081</v>
      </c>
    </row>
    <row r="114" spans="2:28" x14ac:dyDescent="0.3">
      <c r="B114">
        <v>2015</v>
      </c>
      <c r="C114">
        <v>4</v>
      </c>
      <c r="D114">
        <v>96</v>
      </c>
      <c r="G114" s="5">
        <f t="shared" si="17"/>
        <v>90.109821344763915</v>
      </c>
      <c r="H114" s="7">
        <v>101.2255</v>
      </c>
      <c r="K114" s="5">
        <f t="shared" si="18"/>
        <v>102.32955919656152</v>
      </c>
      <c r="L114">
        <v>189.82</v>
      </c>
      <c r="N114" s="5">
        <v>94.4</v>
      </c>
      <c r="O114" s="5">
        <f t="shared" si="19"/>
        <v>49.731324412601417</v>
      </c>
      <c r="P114" s="5">
        <v>168986.11678000001</v>
      </c>
      <c r="Q114" s="5">
        <f t="shared" si="20"/>
        <v>168.98611678</v>
      </c>
      <c r="R114">
        <v>104.46488740999999</v>
      </c>
      <c r="S114" s="5">
        <f t="shared" si="21"/>
        <v>273.45100418999999</v>
      </c>
      <c r="T114" s="5">
        <f t="shared" si="22"/>
        <v>144.05805720682753</v>
      </c>
      <c r="U114">
        <v>122.41258479000001</v>
      </c>
      <c r="V114" s="12">
        <f t="shared" si="23"/>
        <v>64.48877083026025</v>
      </c>
      <c r="W114" s="12"/>
      <c r="X114" s="17">
        <f t="shared" si="31"/>
        <v>6808655135.0702553</v>
      </c>
      <c r="Y114" s="17">
        <f t="shared" si="27"/>
        <v>6808.6551350702557</v>
      </c>
      <c r="Z114" s="12">
        <f t="shared" si="24"/>
        <v>2.1158078115134411</v>
      </c>
      <c r="AA114" s="12">
        <f t="shared" si="25"/>
        <v>1.7978966824075588</v>
      </c>
      <c r="AB114" s="12">
        <f t="shared" si="26"/>
        <v>0.94715872005455626</v>
      </c>
    </row>
    <row r="115" spans="2:28" x14ac:dyDescent="0.3">
      <c r="B115">
        <v>2015</v>
      </c>
      <c r="C115">
        <v>5</v>
      </c>
      <c r="D115">
        <v>96.29</v>
      </c>
      <c r="G115" s="5">
        <f t="shared" si="17"/>
        <v>90.3820280967429</v>
      </c>
      <c r="H115" s="7">
        <v>100.7675</v>
      </c>
      <c r="K115" s="5">
        <f t="shared" si="18"/>
        <v>101.86656382373525</v>
      </c>
      <c r="L115">
        <v>190.79</v>
      </c>
      <c r="N115" s="5">
        <v>104.9</v>
      </c>
      <c r="O115" s="5">
        <f t="shared" si="19"/>
        <v>54.981917291262647</v>
      </c>
      <c r="P115" s="5">
        <v>186670.91837</v>
      </c>
      <c r="Q115" s="5">
        <f t="shared" si="20"/>
        <v>186.67091837000001</v>
      </c>
      <c r="R115">
        <v>107.53243105000001</v>
      </c>
      <c r="S115" s="5">
        <f t="shared" si="21"/>
        <v>294.20334942</v>
      </c>
      <c r="T115" s="5">
        <f t="shared" si="22"/>
        <v>154.20270948162903</v>
      </c>
      <c r="U115">
        <v>117.29357798000001</v>
      </c>
      <c r="V115" s="12">
        <f t="shared" si="23"/>
        <v>61.477843692017409</v>
      </c>
      <c r="W115" s="12"/>
      <c r="X115" s="17">
        <f t="shared" si="31"/>
        <v>6808655135.0702553</v>
      </c>
      <c r="Y115" s="17">
        <f t="shared" si="27"/>
        <v>6808.6551350702557</v>
      </c>
      <c r="Z115" s="12">
        <f t="shared" si="24"/>
        <v>2.2648042296540534</v>
      </c>
      <c r="AA115" s="12">
        <f t="shared" si="25"/>
        <v>1.7227128655090813</v>
      </c>
      <c r="AB115" s="12">
        <f t="shared" si="26"/>
        <v>0.90293666623464608</v>
      </c>
    </row>
    <row r="116" spans="2:28" x14ac:dyDescent="0.3">
      <c r="B116">
        <v>2015</v>
      </c>
      <c r="C116">
        <v>6</v>
      </c>
      <c r="D116">
        <v>97.05</v>
      </c>
      <c r="G116" s="5">
        <f t="shared" si="17"/>
        <v>91.095397515722269</v>
      </c>
      <c r="H116" s="7">
        <v>100.4588</v>
      </c>
      <c r="K116" s="5">
        <f t="shared" si="18"/>
        <v>101.55449685519493</v>
      </c>
      <c r="L116">
        <v>190.76</v>
      </c>
      <c r="N116" s="5">
        <v>93.1</v>
      </c>
      <c r="O116" s="5">
        <f t="shared" si="19"/>
        <v>48.804780876494021</v>
      </c>
      <c r="P116" s="5">
        <v>217447.04621</v>
      </c>
      <c r="Q116" s="5">
        <f t="shared" si="20"/>
        <v>217.44704621</v>
      </c>
      <c r="R116">
        <v>96.215672670000004</v>
      </c>
      <c r="S116" s="5">
        <f t="shared" si="21"/>
        <v>313.66271888</v>
      </c>
      <c r="T116" s="5">
        <f t="shared" si="22"/>
        <v>164.42792979660308</v>
      </c>
      <c r="U116">
        <v>123.13032183</v>
      </c>
      <c r="V116" s="12">
        <f t="shared" si="23"/>
        <v>64.547243567833931</v>
      </c>
      <c r="W116" s="12"/>
      <c r="X116" s="17">
        <f t="shared" si="31"/>
        <v>6808655135.0702553</v>
      </c>
      <c r="Y116" s="17">
        <f t="shared" si="27"/>
        <v>6808.6551350702557</v>
      </c>
      <c r="Z116" s="12">
        <f t="shared" si="24"/>
        <v>2.4149839657711851</v>
      </c>
      <c r="AA116" s="12">
        <f t="shared" si="25"/>
        <v>1.8084382214598607</v>
      </c>
      <c r="AB116" s="12">
        <f t="shared" si="26"/>
        <v>0.9480175201613863</v>
      </c>
    </row>
    <row r="117" spans="2:28" x14ac:dyDescent="0.3">
      <c r="B117">
        <v>2015</v>
      </c>
      <c r="C117">
        <v>7</v>
      </c>
      <c r="D117">
        <v>98.14</v>
      </c>
      <c r="G117" s="5">
        <f t="shared" si="17"/>
        <v>92.118519445574279</v>
      </c>
      <c r="H117" s="7">
        <v>101.08929999999999</v>
      </c>
      <c r="K117" s="5">
        <f t="shared" si="18"/>
        <v>102.19187367302671</v>
      </c>
      <c r="L117">
        <v>190.37</v>
      </c>
      <c r="N117" s="5">
        <v>97.6</v>
      </c>
      <c r="O117" s="5">
        <f t="shared" si="19"/>
        <v>51.268582234595783</v>
      </c>
      <c r="P117" s="5">
        <v>235264.84649</v>
      </c>
      <c r="Q117" s="5">
        <f t="shared" si="20"/>
        <v>235.26484649</v>
      </c>
      <c r="R117">
        <v>104.78724432</v>
      </c>
      <c r="S117" s="5">
        <f t="shared" si="21"/>
        <v>340.05209080999998</v>
      </c>
      <c r="T117" s="5">
        <f t="shared" si="22"/>
        <v>178.62693218994588</v>
      </c>
      <c r="U117">
        <v>109.52673616999999</v>
      </c>
      <c r="V117" s="12">
        <f t="shared" si="23"/>
        <v>57.533611477648783</v>
      </c>
      <c r="W117" s="12"/>
      <c r="X117" s="17">
        <f t="shared" si="31"/>
        <v>6808655135.0702553</v>
      </c>
      <c r="Y117" s="17">
        <f t="shared" si="27"/>
        <v>6808.6551350702557</v>
      </c>
      <c r="Z117" s="12">
        <f t="shared" si="24"/>
        <v>2.6235273875139913</v>
      </c>
      <c r="AA117" s="12">
        <f t="shared" si="25"/>
        <v>1.6086397973932607</v>
      </c>
      <c r="AB117" s="12">
        <f t="shared" si="26"/>
        <v>0.84500698502561356</v>
      </c>
    </row>
    <row r="118" spans="2:28" x14ac:dyDescent="0.3">
      <c r="B118">
        <v>2015</v>
      </c>
      <c r="C118">
        <v>8</v>
      </c>
      <c r="D118">
        <v>98.54</v>
      </c>
      <c r="G118" s="5">
        <f t="shared" si="17"/>
        <v>92.493977034510806</v>
      </c>
      <c r="H118" s="7">
        <v>100.9165</v>
      </c>
      <c r="K118" s="5">
        <f t="shared" si="18"/>
        <v>102.01718895594293</v>
      </c>
      <c r="L118">
        <v>190.36</v>
      </c>
      <c r="N118" s="5">
        <v>96.6</v>
      </c>
      <c r="O118" s="5">
        <f t="shared" si="19"/>
        <v>50.745955032569853</v>
      </c>
      <c r="P118" s="5">
        <v>226551.82199</v>
      </c>
      <c r="Q118" s="5">
        <f t="shared" si="20"/>
        <v>226.55182199000001</v>
      </c>
      <c r="R118">
        <v>87.900703500000006</v>
      </c>
      <c r="S118" s="5">
        <f t="shared" si="21"/>
        <v>314.45252549000003</v>
      </c>
      <c r="T118" s="5">
        <f t="shared" si="22"/>
        <v>165.18834077011977</v>
      </c>
      <c r="U118">
        <v>98.80960060000001</v>
      </c>
      <c r="V118" s="12">
        <f t="shared" si="23"/>
        <v>51.906703404076495</v>
      </c>
      <c r="W118" s="12"/>
      <c r="X118" s="17">
        <f t="shared" si="31"/>
        <v>6808655135.0702553</v>
      </c>
      <c r="Y118" s="17">
        <f t="shared" si="27"/>
        <v>6808.6551350702557</v>
      </c>
      <c r="Z118" s="12">
        <f t="shared" si="24"/>
        <v>2.4261522649203067</v>
      </c>
      <c r="AA118" s="12">
        <f t="shared" si="25"/>
        <v>1.4512352093007048</v>
      </c>
      <c r="AB118" s="12">
        <f t="shared" si="26"/>
        <v>0.76236352663411688</v>
      </c>
    </row>
    <row r="119" spans="2:28" x14ac:dyDescent="0.3">
      <c r="B119">
        <v>2015</v>
      </c>
      <c r="C119">
        <v>9</v>
      </c>
      <c r="D119">
        <v>98.7</v>
      </c>
      <c r="G119" s="5">
        <f t="shared" si="17"/>
        <v>92.644160070085405</v>
      </c>
      <c r="H119" s="7">
        <v>100.633</v>
      </c>
      <c r="K119" s="5">
        <f t="shared" si="18"/>
        <v>101.73059684197732</v>
      </c>
      <c r="L119">
        <v>190.19</v>
      </c>
      <c r="N119" s="5">
        <v>98.7</v>
      </c>
      <c r="O119" s="5">
        <f t="shared" si="19"/>
        <v>51.895472948104526</v>
      </c>
      <c r="P119" s="5">
        <v>224622.35435000001</v>
      </c>
      <c r="Q119" s="5">
        <f t="shared" si="20"/>
        <v>224.62235434999999</v>
      </c>
      <c r="R119">
        <v>89.79315385999999</v>
      </c>
      <c r="S119" s="5">
        <f t="shared" si="21"/>
        <v>314.41550820999998</v>
      </c>
      <c r="T119" s="5">
        <f t="shared" si="22"/>
        <v>165.31652989641935</v>
      </c>
      <c r="U119">
        <v>79.472190380000001</v>
      </c>
      <c r="V119" s="12">
        <f t="shared" si="23"/>
        <v>41.785682938114519</v>
      </c>
      <c r="W119" s="12"/>
      <c r="X119" s="17">
        <f t="shared" si="31"/>
        <v>6808655135.0702553</v>
      </c>
      <c r="Y119" s="17">
        <f t="shared" si="27"/>
        <v>6808.6551350702557</v>
      </c>
      <c r="Z119" s="12">
        <f t="shared" si="24"/>
        <v>2.4280350027555553</v>
      </c>
      <c r="AA119" s="12">
        <f t="shared" si="25"/>
        <v>1.1672230242746751</v>
      </c>
      <c r="AB119" s="12">
        <f t="shared" si="26"/>
        <v>0.61371419331966726</v>
      </c>
    </row>
    <row r="120" spans="2:28" x14ac:dyDescent="0.3">
      <c r="B120">
        <v>2015</v>
      </c>
      <c r="C120">
        <v>10</v>
      </c>
      <c r="D120">
        <v>98.94</v>
      </c>
      <c r="G120" s="5">
        <f t="shared" si="17"/>
        <v>92.869434623447319</v>
      </c>
      <c r="H120" s="7">
        <v>100.1563</v>
      </c>
      <c r="K120" s="5">
        <f t="shared" si="18"/>
        <v>101.24869750960552</v>
      </c>
      <c r="L120">
        <v>191.01</v>
      </c>
      <c r="N120" s="5">
        <v>102.6</v>
      </c>
      <c r="O120" s="5">
        <f t="shared" si="19"/>
        <v>53.714465211245489</v>
      </c>
      <c r="P120" s="5">
        <v>251876.33663000001</v>
      </c>
      <c r="Q120" s="5">
        <f t="shared" si="20"/>
        <v>251.87633663</v>
      </c>
      <c r="R120">
        <v>115.12427973000001</v>
      </c>
      <c r="S120" s="5">
        <f t="shared" si="21"/>
        <v>367.00061635999998</v>
      </c>
      <c r="T120" s="5">
        <f t="shared" si="22"/>
        <v>192.13686003874142</v>
      </c>
      <c r="U120">
        <v>69.325798400000011</v>
      </c>
      <c r="V120" s="12">
        <f t="shared" si="23"/>
        <v>36.294329302130784</v>
      </c>
      <c r="W120" s="12"/>
      <c r="X120" s="17">
        <f t="shared" si="31"/>
        <v>6808655135.0702553</v>
      </c>
      <c r="Y120" s="17">
        <f t="shared" si="27"/>
        <v>6808.6551350702557</v>
      </c>
      <c r="Z120" s="12">
        <f t="shared" si="24"/>
        <v>2.8219502416721953</v>
      </c>
      <c r="AA120" s="12">
        <f t="shared" si="25"/>
        <v>1.0182010547562368</v>
      </c>
      <c r="AB120" s="12">
        <f t="shared" si="26"/>
        <v>0.53306164847716697</v>
      </c>
    </row>
    <row r="121" spans="2:28" x14ac:dyDescent="0.3">
      <c r="B121">
        <v>2015</v>
      </c>
      <c r="C121">
        <v>11</v>
      </c>
      <c r="D121">
        <v>99.01</v>
      </c>
      <c r="G121" s="5">
        <f t="shared" si="17"/>
        <v>92.935139701511204</v>
      </c>
      <c r="H121" s="7">
        <v>99.436599999999999</v>
      </c>
      <c r="K121" s="5">
        <f t="shared" si="18"/>
        <v>100.52114779383464</v>
      </c>
      <c r="L121">
        <v>191.69</v>
      </c>
      <c r="N121" s="5">
        <v>95.7</v>
      </c>
      <c r="O121" s="5">
        <f t="shared" si="19"/>
        <v>49.924357034795769</v>
      </c>
      <c r="P121" s="5">
        <v>218242.30468</v>
      </c>
      <c r="Q121" s="5">
        <f t="shared" si="20"/>
        <v>218.24230467999999</v>
      </c>
      <c r="R121">
        <v>85.242984399999983</v>
      </c>
      <c r="S121" s="5">
        <f t="shared" si="21"/>
        <v>303.48528907999997</v>
      </c>
      <c r="T121" s="5">
        <f t="shared" si="22"/>
        <v>158.32087697845478</v>
      </c>
      <c r="U121">
        <v>67.455095599999993</v>
      </c>
      <c r="V121" s="12">
        <f t="shared" si="23"/>
        <v>35.189678960822157</v>
      </c>
      <c r="W121" s="12"/>
      <c r="X121" s="17">
        <f t="shared" si="31"/>
        <v>6808655135.0702553</v>
      </c>
      <c r="Y121" s="17">
        <f t="shared" si="27"/>
        <v>6808.6551350702557</v>
      </c>
      <c r="Z121" s="12">
        <f t="shared" si="24"/>
        <v>2.3252885311075624</v>
      </c>
      <c r="AA121" s="12">
        <f t="shared" si="25"/>
        <v>0.99072569048988779</v>
      </c>
      <c r="AB121" s="12">
        <f t="shared" si="26"/>
        <v>0.51683744091496042</v>
      </c>
    </row>
    <row r="122" spans="2:28" x14ac:dyDescent="0.3">
      <c r="B122">
        <v>2015</v>
      </c>
      <c r="C122">
        <v>12</v>
      </c>
      <c r="D122">
        <v>98.2</v>
      </c>
      <c r="G122" s="5">
        <f t="shared" si="17"/>
        <v>92.174838083914764</v>
      </c>
      <c r="H122" s="7">
        <v>98.947100000000006</v>
      </c>
      <c r="K122" s="5">
        <f t="shared" si="18"/>
        <v>100.02630885278998</v>
      </c>
      <c r="L122">
        <v>193.56</v>
      </c>
      <c r="N122" s="5">
        <v>120.6</v>
      </c>
      <c r="O122" s="5">
        <f t="shared" si="19"/>
        <v>62.306261624302536</v>
      </c>
      <c r="P122" s="5">
        <v>184072.91803</v>
      </c>
      <c r="Q122" s="5">
        <f t="shared" si="20"/>
        <v>184.07291803000001</v>
      </c>
      <c r="R122">
        <v>103.46590711999998</v>
      </c>
      <c r="S122" s="5">
        <f t="shared" si="21"/>
        <v>287.53882514999998</v>
      </c>
      <c r="T122" s="5">
        <f t="shared" si="22"/>
        <v>148.55281315871048</v>
      </c>
      <c r="U122">
        <v>77.205958289999998</v>
      </c>
      <c r="V122" s="12">
        <f t="shared" si="23"/>
        <v>39.887351875387481</v>
      </c>
      <c r="W122" s="12"/>
      <c r="X122" s="17">
        <f t="shared" si="31"/>
        <v>6808655135.0702553</v>
      </c>
      <c r="Y122" s="17">
        <f t="shared" si="27"/>
        <v>6808.6551350702557</v>
      </c>
      <c r="Z122" s="12">
        <f t="shared" si="24"/>
        <v>2.1818231385158504</v>
      </c>
      <c r="AA122" s="12">
        <f t="shared" si="25"/>
        <v>1.1339384468501701</v>
      </c>
      <c r="AB122" s="12">
        <f t="shared" si="26"/>
        <v>0.5858330475564012</v>
      </c>
    </row>
    <row r="123" spans="2:28" s="9" customFormat="1" x14ac:dyDescent="0.3">
      <c r="B123" s="9">
        <v>2016</v>
      </c>
      <c r="C123" s="9">
        <v>1</v>
      </c>
      <c r="D123" s="9">
        <v>98.96</v>
      </c>
      <c r="G123" s="9">
        <f t="shared" si="17"/>
        <v>92.888207502894133</v>
      </c>
      <c r="H123" s="10">
        <v>99.439099999999996</v>
      </c>
      <c r="K123" s="9">
        <f t="shared" si="18"/>
        <v>100.52367506115357</v>
      </c>
      <c r="L123" s="9">
        <v>193.34</v>
      </c>
      <c r="M123" s="9">
        <f>AVERAGE(L123:L134)</f>
        <v>197.04333333333332</v>
      </c>
      <c r="N123" s="9">
        <v>91.2</v>
      </c>
      <c r="O123" s="9">
        <f t="shared" si="19"/>
        <v>47.170787214233997</v>
      </c>
      <c r="P123" s="9">
        <v>214171.02059</v>
      </c>
      <c r="Q123" s="9">
        <f t="shared" si="20"/>
        <v>214.17102059000001</v>
      </c>
      <c r="R123" s="9">
        <v>77.928871889999996</v>
      </c>
      <c r="S123" s="9">
        <f t="shared" si="21"/>
        <v>292.09989247999999</v>
      </c>
      <c r="T123" s="9">
        <f t="shared" si="22"/>
        <v>151.08094159511739</v>
      </c>
      <c r="U123" s="9">
        <v>78.9334925</v>
      </c>
      <c r="V123" s="13">
        <f t="shared" si="23"/>
        <v>40.826260732388533</v>
      </c>
      <c r="W123" s="13">
        <v>13286093388.475203</v>
      </c>
      <c r="X123" s="15">
        <f t="shared" ref="X123:X134" si="32">($W$123/$L$123)*100</f>
        <v>6871880308.5110188</v>
      </c>
      <c r="Y123" s="15">
        <f t="shared" si="27"/>
        <v>6871.8803085110185</v>
      </c>
      <c r="Z123" s="13">
        <f t="shared" si="24"/>
        <v>2.1985386067914976</v>
      </c>
      <c r="AA123" s="13">
        <f t="shared" si="25"/>
        <v>1.1486447516007903</v>
      </c>
      <c r="AB123" s="13">
        <f t="shared" si="26"/>
        <v>0.5941061092380211</v>
      </c>
    </row>
    <row r="124" spans="2:28" x14ac:dyDescent="0.3">
      <c r="B124">
        <v>2016</v>
      </c>
      <c r="C124">
        <v>2</v>
      </c>
      <c r="D124">
        <v>98.37</v>
      </c>
      <c r="G124" s="5">
        <f t="shared" si="17"/>
        <v>92.334407559212778</v>
      </c>
      <c r="H124" s="7">
        <v>98.923199999999994</v>
      </c>
      <c r="K124" s="5">
        <f t="shared" si="18"/>
        <v>100.00214817722109</v>
      </c>
      <c r="L124">
        <v>195.13</v>
      </c>
      <c r="N124" s="5">
        <v>103.4</v>
      </c>
      <c r="O124" s="5">
        <f t="shared" si="19"/>
        <v>52.990314149541341</v>
      </c>
      <c r="P124" s="5">
        <v>219392.79423</v>
      </c>
      <c r="Q124" s="5">
        <f t="shared" si="20"/>
        <v>219.39279422999999</v>
      </c>
      <c r="R124">
        <v>93.584033759999997</v>
      </c>
      <c r="S124" s="5">
        <f t="shared" si="21"/>
        <v>312.97682799</v>
      </c>
      <c r="T124" s="5">
        <f t="shared" si="22"/>
        <v>160.39400809204122</v>
      </c>
      <c r="U124">
        <v>97.016403910000008</v>
      </c>
      <c r="V124" s="12">
        <f t="shared" si="23"/>
        <v>49.718856101060837</v>
      </c>
      <c r="W124" s="12"/>
      <c r="X124" s="17">
        <f t="shared" si="32"/>
        <v>6871880308.5110188</v>
      </c>
      <c r="Y124" s="17">
        <f t="shared" si="27"/>
        <v>6871.8803085110185</v>
      </c>
      <c r="Z124" s="12">
        <f t="shared" si="24"/>
        <v>2.3340628895033095</v>
      </c>
      <c r="AA124" s="12">
        <f t="shared" si="25"/>
        <v>1.411788325094115</v>
      </c>
      <c r="AB124" s="12">
        <f t="shared" si="26"/>
        <v>0.72351167175427411</v>
      </c>
    </row>
    <row r="125" spans="2:28" x14ac:dyDescent="0.3">
      <c r="B125">
        <v>2016</v>
      </c>
      <c r="C125">
        <v>3</v>
      </c>
      <c r="D125">
        <v>98.21</v>
      </c>
      <c r="G125" s="5">
        <f t="shared" si="17"/>
        <v>92.184224523638164</v>
      </c>
      <c r="H125" s="7">
        <v>98.163499999999999</v>
      </c>
      <c r="K125" s="5">
        <f t="shared" si="18"/>
        <v>99.234162184347483</v>
      </c>
      <c r="L125">
        <v>196.36</v>
      </c>
      <c r="N125" s="5">
        <v>107.7</v>
      </c>
      <c r="O125" s="5">
        <f t="shared" si="19"/>
        <v>54.848237930332047</v>
      </c>
      <c r="P125" s="5">
        <v>205748.11838</v>
      </c>
      <c r="Q125" s="5">
        <f t="shared" si="20"/>
        <v>205.74811837999999</v>
      </c>
      <c r="R125">
        <v>88.344205189999997</v>
      </c>
      <c r="S125" s="5">
        <f t="shared" si="21"/>
        <v>294.09232356999996</v>
      </c>
      <c r="T125" s="5">
        <f t="shared" si="22"/>
        <v>149.77201241087795</v>
      </c>
      <c r="U125">
        <v>119.75301153000001</v>
      </c>
      <c r="V125" s="12">
        <f t="shared" si="23"/>
        <v>60.98645932470972</v>
      </c>
      <c r="W125" s="12"/>
      <c r="X125" s="17">
        <f t="shared" si="32"/>
        <v>6871880308.5110188</v>
      </c>
      <c r="Y125" s="17">
        <f t="shared" si="27"/>
        <v>6871.8803085110185</v>
      </c>
      <c r="Z125" s="12">
        <f t="shared" si="24"/>
        <v>2.1794909935404587</v>
      </c>
      <c r="AA125" s="12">
        <f t="shared" si="25"/>
        <v>1.7426527551954378</v>
      </c>
      <c r="AB125" s="12">
        <f t="shared" si="26"/>
        <v>0.88747848604371449</v>
      </c>
    </row>
    <row r="126" spans="2:28" x14ac:dyDescent="0.3">
      <c r="B126">
        <v>2016</v>
      </c>
      <c r="C126">
        <v>4</v>
      </c>
      <c r="D126">
        <v>98.57</v>
      </c>
      <c r="G126" s="5">
        <f t="shared" si="17"/>
        <v>92.522136353681034</v>
      </c>
      <c r="H126" s="7">
        <v>98.477500000000006</v>
      </c>
      <c r="K126" s="5">
        <f t="shared" si="18"/>
        <v>99.551586959603924</v>
      </c>
      <c r="L126">
        <v>196.64</v>
      </c>
      <c r="N126" s="5">
        <v>103.5</v>
      </c>
      <c r="O126" s="5">
        <f t="shared" si="19"/>
        <v>52.634255492270142</v>
      </c>
      <c r="P126" s="5">
        <v>221893.12221999999</v>
      </c>
      <c r="Q126" s="5">
        <f t="shared" si="20"/>
        <v>221.89312221999998</v>
      </c>
      <c r="R126">
        <v>96.891555669999988</v>
      </c>
      <c r="S126" s="5">
        <f t="shared" si="21"/>
        <v>318.78467788999995</v>
      </c>
      <c r="T126" s="5">
        <f t="shared" si="22"/>
        <v>162.11588582689177</v>
      </c>
      <c r="U126">
        <v>132.30927776000001</v>
      </c>
      <c r="V126" s="12">
        <f t="shared" si="23"/>
        <v>67.285027339300257</v>
      </c>
      <c r="W126" s="12"/>
      <c r="X126" s="17">
        <f t="shared" si="32"/>
        <v>6871880308.5110188</v>
      </c>
      <c r="Y126" s="17">
        <f t="shared" si="27"/>
        <v>6871.8803085110185</v>
      </c>
      <c r="Z126" s="12">
        <f t="shared" si="24"/>
        <v>2.3591197539646704</v>
      </c>
      <c r="AA126" s="12">
        <f t="shared" si="25"/>
        <v>1.9253722681422614</v>
      </c>
      <c r="AB126" s="12">
        <f t="shared" si="26"/>
        <v>0.9791356123587579</v>
      </c>
    </row>
    <row r="127" spans="2:28" x14ac:dyDescent="0.3">
      <c r="B127">
        <v>2016</v>
      </c>
      <c r="C127">
        <v>5</v>
      </c>
      <c r="D127">
        <v>98.77</v>
      </c>
      <c r="G127" s="5">
        <f t="shared" si="17"/>
        <v>92.709865148149291</v>
      </c>
      <c r="H127" s="7">
        <v>98.254900000000006</v>
      </c>
      <c r="K127" s="5">
        <f t="shared" si="18"/>
        <v>99.326559077527236</v>
      </c>
      <c r="L127">
        <v>197.76</v>
      </c>
      <c r="N127" s="5">
        <v>107.4</v>
      </c>
      <c r="O127" s="5">
        <f t="shared" si="19"/>
        <v>54.30825242718447</v>
      </c>
      <c r="P127" s="5">
        <v>215939.22036000001</v>
      </c>
      <c r="Q127" s="5">
        <f t="shared" si="20"/>
        <v>215.93922036000001</v>
      </c>
      <c r="R127">
        <v>91.227807269999985</v>
      </c>
      <c r="S127" s="5">
        <f t="shared" si="21"/>
        <v>307.16702763000001</v>
      </c>
      <c r="T127" s="5">
        <f t="shared" si="22"/>
        <v>155.32313290351942</v>
      </c>
      <c r="U127">
        <v>118.48590745999999</v>
      </c>
      <c r="V127" s="12">
        <f t="shared" si="23"/>
        <v>59.913990422734628</v>
      </c>
      <c r="W127" s="12"/>
      <c r="X127" s="17">
        <f t="shared" si="32"/>
        <v>6871880308.5110188</v>
      </c>
      <c r="Y127" s="17">
        <f t="shared" si="27"/>
        <v>6871.8803085110185</v>
      </c>
      <c r="Z127" s="12">
        <f t="shared" si="24"/>
        <v>2.2602712202531716</v>
      </c>
      <c r="AA127" s="12">
        <f t="shared" si="25"/>
        <v>1.7242137834276865</v>
      </c>
      <c r="AB127" s="12">
        <f t="shared" si="26"/>
        <v>0.87187185650671839</v>
      </c>
    </row>
    <row r="128" spans="2:28" x14ac:dyDescent="0.3">
      <c r="B128">
        <v>2016</v>
      </c>
      <c r="C128">
        <v>6</v>
      </c>
      <c r="D128">
        <v>99.53</v>
      </c>
      <c r="G128" s="5">
        <f t="shared" si="17"/>
        <v>93.423234567128674</v>
      </c>
      <c r="H128" s="7">
        <v>98.731499999999997</v>
      </c>
      <c r="K128" s="5">
        <f t="shared" si="18"/>
        <v>99.808357319206252</v>
      </c>
      <c r="L128">
        <v>197.56</v>
      </c>
      <c r="N128" s="5">
        <v>95.5</v>
      </c>
      <c r="O128" s="5">
        <f t="shared" si="19"/>
        <v>48.339744887629074</v>
      </c>
      <c r="P128" s="5">
        <v>219850.56881999999</v>
      </c>
      <c r="Q128" s="5">
        <f t="shared" si="20"/>
        <v>219.85056881999998</v>
      </c>
      <c r="R128">
        <v>77.386874859999992</v>
      </c>
      <c r="S128" s="5">
        <f t="shared" si="21"/>
        <v>297.23744367999996</v>
      </c>
      <c r="T128" s="5">
        <f t="shared" si="22"/>
        <v>150.45426385908075</v>
      </c>
      <c r="U128">
        <v>108.34523788</v>
      </c>
      <c r="V128" s="12">
        <f t="shared" si="23"/>
        <v>54.841687527839646</v>
      </c>
      <c r="W128" s="12"/>
      <c r="X128" s="17">
        <f t="shared" si="32"/>
        <v>6871880308.5110188</v>
      </c>
      <c r="Y128" s="17">
        <f t="shared" si="27"/>
        <v>6871.8803085110185</v>
      </c>
      <c r="Z128" s="12">
        <f t="shared" si="24"/>
        <v>2.189419156104027</v>
      </c>
      <c r="AA128" s="12">
        <f t="shared" si="25"/>
        <v>1.5766461727485466</v>
      </c>
      <c r="AB128" s="12">
        <f t="shared" si="26"/>
        <v>0.79805941119080115</v>
      </c>
    </row>
    <row r="129" spans="2:28" x14ac:dyDescent="0.3">
      <c r="B129">
        <v>2016</v>
      </c>
      <c r="C129">
        <v>7</v>
      </c>
      <c r="D129">
        <v>99.82</v>
      </c>
      <c r="G129" s="5">
        <f t="shared" si="17"/>
        <v>93.695441319107644</v>
      </c>
      <c r="H129" s="7">
        <v>98.845200000000006</v>
      </c>
      <c r="K129" s="5">
        <f t="shared" si="18"/>
        <v>99.923297436870783</v>
      </c>
      <c r="L129">
        <v>198.2</v>
      </c>
      <c r="N129" s="5">
        <v>98.7</v>
      </c>
      <c r="O129" s="5">
        <f t="shared" si="19"/>
        <v>49.798183652875885</v>
      </c>
      <c r="P129" s="5">
        <v>222056.98693000001</v>
      </c>
      <c r="Q129" s="5">
        <f t="shared" si="20"/>
        <v>222.05698693000002</v>
      </c>
      <c r="R129">
        <v>85.05098670000001</v>
      </c>
      <c r="S129" s="5">
        <f t="shared" si="21"/>
        <v>307.10797363000006</v>
      </c>
      <c r="T129" s="5">
        <f t="shared" si="22"/>
        <v>154.9485235267407</v>
      </c>
      <c r="U129">
        <v>108.42853076000002</v>
      </c>
      <c r="V129" s="12">
        <f t="shared" si="23"/>
        <v>54.706625005045417</v>
      </c>
      <c r="W129" s="12"/>
      <c r="X129" s="17">
        <f t="shared" si="32"/>
        <v>6871880308.5110188</v>
      </c>
      <c r="Y129" s="17">
        <f t="shared" si="27"/>
        <v>6871.8803085110185</v>
      </c>
      <c r="Z129" s="12">
        <f t="shared" si="24"/>
        <v>2.2548198829195636</v>
      </c>
      <c r="AA129" s="12">
        <f t="shared" si="25"/>
        <v>1.577858255559373</v>
      </c>
      <c r="AB129" s="12">
        <f t="shared" si="26"/>
        <v>0.79609397354156053</v>
      </c>
    </row>
    <row r="130" spans="2:28" x14ac:dyDescent="0.3">
      <c r="B130">
        <v>2016</v>
      </c>
      <c r="C130">
        <v>8</v>
      </c>
      <c r="D130">
        <v>100.84</v>
      </c>
      <c r="G130" s="5">
        <f t="shared" si="17"/>
        <v>94.652858170895769</v>
      </c>
      <c r="H130" s="7">
        <v>98.742699999999999</v>
      </c>
      <c r="K130" s="5">
        <f t="shared" si="18"/>
        <v>99.819679476795031</v>
      </c>
      <c r="L130">
        <v>197.49</v>
      </c>
      <c r="N130" s="5">
        <v>107.9</v>
      </c>
      <c r="O130" s="5">
        <f t="shared" si="19"/>
        <v>54.635677755835744</v>
      </c>
      <c r="P130" s="5">
        <v>245527.16412</v>
      </c>
      <c r="Q130" s="5">
        <f t="shared" si="20"/>
        <v>245.52716412000001</v>
      </c>
      <c r="R130">
        <v>92.484084629999998</v>
      </c>
      <c r="S130" s="5">
        <f t="shared" si="21"/>
        <v>338.01124874999999</v>
      </c>
      <c r="T130" s="5">
        <f t="shared" si="22"/>
        <v>171.15360208111804</v>
      </c>
      <c r="U130">
        <v>114.68960917999999</v>
      </c>
      <c r="V130" s="12">
        <f t="shared" si="23"/>
        <v>58.07362862929768</v>
      </c>
      <c r="W130" s="12"/>
      <c r="X130" s="17">
        <f t="shared" si="32"/>
        <v>6871880308.5110188</v>
      </c>
      <c r="Y130" s="17">
        <f t="shared" si="27"/>
        <v>6871.8803085110185</v>
      </c>
      <c r="Z130" s="12">
        <f t="shared" si="24"/>
        <v>2.4906371240072307</v>
      </c>
      <c r="AA130" s="12">
        <f t="shared" si="25"/>
        <v>1.6689698311240033</v>
      </c>
      <c r="AB130" s="12">
        <f t="shared" si="26"/>
        <v>0.84509080516684565</v>
      </c>
    </row>
    <row r="131" spans="2:28" x14ac:dyDescent="0.3">
      <c r="B131">
        <v>2016</v>
      </c>
      <c r="C131">
        <v>9</v>
      </c>
      <c r="D131">
        <v>101.9</v>
      </c>
      <c r="G131" s="5">
        <f t="shared" ref="G131:G194" si="33">$F$3*D131</f>
        <v>95.647820781577536</v>
      </c>
      <c r="H131" s="7">
        <v>98.655199999999994</v>
      </c>
      <c r="K131" s="5">
        <f t="shared" ref="K131:K194" si="34">$J$3*H131</f>
        <v>99.7312251206328</v>
      </c>
      <c r="L131">
        <v>196.89</v>
      </c>
      <c r="N131" s="5">
        <v>106.3</v>
      </c>
      <c r="O131" s="5">
        <f t="shared" ref="O131:O194" si="35">(N131/L131)*100</f>
        <v>53.989537305094217</v>
      </c>
      <c r="P131" s="5">
        <v>229207.41209999999</v>
      </c>
      <c r="Q131" s="5">
        <f t="shared" ref="Q131:Q194" si="36">P131/1000</f>
        <v>229.2074121</v>
      </c>
      <c r="R131">
        <v>77.599311060000005</v>
      </c>
      <c r="S131" s="5">
        <f t="shared" ref="S131:S194" si="37">Q131+R131</f>
        <v>306.80672315999999</v>
      </c>
      <c r="T131" s="5">
        <f t="shared" ref="T131:T194" si="38">(S131/L131)*100</f>
        <v>155.82646308090813</v>
      </c>
      <c r="U131">
        <v>93.052205749999985</v>
      </c>
      <c r="V131" s="12">
        <f t="shared" ref="V131:V194" si="39">(U131/L131)*100</f>
        <v>47.261011605464972</v>
      </c>
      <c r="W131" s="12"/>
      <c r="X131" s="17">
        <f t="shared" si="32"/>
        <v>6871880308.5110188</v>
      </c>
      <c r="Y131" s="17">
        <f t="shared" si="27"/>
        <v>6871.8803085110185</v>
      </c>
      <c r="Z131" s="12">
        <f t="shared" ref="Z131:Z194" si="40">(T131/Y131)*100</f>
        <v>2.2675957101277309</v>
      </c>
      <c r="AA131" s="12">
        <f t="shared" ref="AA131:AA194" si="41">(U131/Y131)*100</f>
        <v>1.3541010840184773</v>
      </c>
      <c r="AB131" s="12">
        <f t="shared" ref="AB131:AB194" si="42">(V131/Y131)*100</f>
        <v>0.68774497639213639</v>
      </c>
    </row>
    <row r="132" spans="2:28" x14ac:dyDescent="0.3">
      <c r="B132">
        <v>2016</v>
      </c>
      <c r="C132">
        <v>10</v>
      </c>
      <c r="D132">
        <v>102.22</v>
      </c>
      <c r="G132" s="5">
        <f t="shared" si="33"/>
        <v>95.948186852726749</v>
      </c>
      <c r="H132" s="7">
        <v>98.723699999999994</v>
      </c>
      <c r="K132" s="5">
        <f t="shared" si="34"/>
        <v>99.800472245171221</v>
      </c>
      <c r="L132">
        <v>197.5</v>
      </c>
      <c r="N132" s="5">
        <v>108.1</v>
      </c>
      <c r="O132" s="5">
        <f t="shared" si="35"/>
        <v>54.734177215189874</v>
      </c>
      <c r="P132" s="5">
        <v>224637.79699999999</v>
      </c>
      <c r="Q132" s="5">
        <f t="shared" si="36"/>
        <v>224.63779699999998</v>
      </c>
      <c r="R132">
        <v>101.57001898000001</v>
      </c>
      <c r="S132" s="5">
        <f t="shared" si="37"/>
        <v>326.20781597999996</v>
      </c>
      <c r="T132" s="5">
        <f t="shared" si="38"/>
        <v>165.16851442025316</v>
      </c>
      <c r="U132">
        <v>77.899546609999987</v>
      </c>
      <c r="V132" s="12">
        <f t="shared" si="39"/>
        <v>39.442808410126581</v>
      </c>
      <c r="W132" s="12"/>
      <c r="X132" s="17">
        <f t="shared" si="32"/>
        <v>6871880308.5110188</v>
      </c>
      <c r="Y132" s="17">
        <f t="shared" ref="Y132:Y195" si="43">X132/1000000</f>
        <v>6871.8803085110185</v>
      </c>
      <c r="Z132" s="12">
        <f t="shared" si="40"/>
        <v>2.4035417819441247</v>
      </c>
      <c r="AA132" s="12">
        <f t="shared" si="41"/>
        <v>1.1335987111638017</v>
      </c>
      <c r="AB132" s="12">
        <f t="shared" si="42"/>
        <v>0.57397403096901356</v>
      </c>
    </row>
    <row r="133" spans="2:28" x14ac:dyDescent="0.3">
      <c r="B133">
        <v>2016</v>
      </c>
      <c r="C133">
        <v>11</v>
      </c>
      <c r="D133">
        <v>102.41</v>
      </c>
      <c r="G133" s="5">
        <f t="shared" si="33"/>
        <v>96.126529207471592</v>
      </c>
      <c r="H133" s="7">
        <v>98.344300000000004</v>
      </c>
      <c r="K133" s="5">
        <f t="shared" si="34"/>
        <v>99.416934156851838</v>
      </c>
      <c r="L133">
        <v>198.03</v>
      </c>
      <c r="N133" s="5">
        <v>104.3</v>
      </c>
      <c r="O133" s="5">
        <f t="shared" si="35"/>
        <v>52.668787557440787</v>
      </c>
      <c r="P133" s="5">
        <v>226554.74179</v>
      </c>
      <c r="Q133" s="5">
        <f t="shared" si="36"/>
        <v>226.55474179000001</v>
      </c>
      <c r="R133">
        <v>77.25079439999999</v>
      </c>
      <c r="S133" s="5">
        <f t="shared" si="37"/>
        <v>303.80553619</v>
      </c>
      <c r="T133" s="5">
        <f t="shared" si="38"/>
        <v>153.41389496035953</v>
      </c>
      <c r="U133">
        <v>69.403009369999992</v>
      </c>
      <c r="V133" s="12">
        <f t="shared" si="39"/>
        <v>35.046714826036457</v>
      </c>
      <c r="W133" s="12"/>
      <c r="X133" s="17">
        <f t="shared" si="32"/>
        <v>6871880308.5110188</v>
      </c>
      <c r="Y133" s="17">
        <f t="shared" si="43"/>
        <v>6871.8803085110185</v>
      </c>
      <c r="Z133" s="12">
        <f t="shared" si="40"/>
        <v>2.2324878791959177</v>
      </c>
      <c r="AA133" s="12">
        <f t="shared" si="41"/>
        <v>1.0099566094601851</v>
      </c>
      <c r="AB133" s="12">
        <f t="shared" si="42"/>
        <v>0.51000182268352534</v>
      </c>
    </row>
    <row r="134" spans="2:28" x14ac:dyDescent="0.3">
      <c r="B134">
        <v>2016</v>
      </c>
      <c r="C134">
        <v>12</v>
      </c>
      <c r="D134">
        <v>102.2</v>
      </c>
      <c r="G134" s="5">
        <f t="shared" si="33"/>
        <v>95.929413973279921</v>
      </c>
      <c r="H134" s="7">
        <v>99.040599999999998</v>
      </c>
      <c r="K134" s="5">
        <f t="shared" si="34"/>
        <v>100.12082865051761</v>
      </c>
      <c r="L134">
        <v>199.62</v>
      </c>
      <c r="N134" s="5">
        <v>130.1</v>
      </c>
      <c r="O134" s="5">
        <f t="shared" si="35"/>
        <v>65.173830277527301</v>
      </c>
      <c r="P134" s="5">
        <v>167819.66180999999</v>
      </c>
      <c r="Q134" s="5">
        <f t="shared" si="36"/>
        <v>167.81966180999999</v>
      </c>
      <c r="R134">
        <v>91.955367770000009</v>
      </c>
      <c r="S134" s="5">
        <f t="shared" si="37"/>
        <v>259.77502958000002</v>
      </c>
      <c r="T134" s="5">
        <f t="shared" si="38"/>
        <v>130.13477085462378</v>
      </c>
      <c r="U134">
        <v>79.788675469999987</v>
      </c>
      <c r="V134" s="12">
        <f t="shared" si="39"/>
        <v>39.970281269411871</v>
      </c>
      <c r="W134" s="12"/>
      <c r="X134" s="17">
        <f t="shared" si="32"/>
        <v>6871880308.5110188</v>
      </c>
      <c r="Y134" s="17">
        <f t="shared" si="43"/>
        <v>6871.8803085110185</v>
      </c>
      <c r="Z134" s="12">
        <f t="shared" si="40"/>
        <v>1.8937287177928315</v>
      </c>
      <c r="AA134" s="12">
        <f t="shared" si="41"/>
        <v>1.1610894236789813</v>
      </c>
      <c r="AB134" s="12">
        <f t="shared" si="42"/>
        <v>0.58164984654793161</v>
      </c>
    </row>
    <row r="135" spans="2:28" s="9" customFormat="1" ht="15" customHeight="1" x14ac:dyDescent="0.3">
      <c r="B135" s="9">
        <v>2017</v>
      </c>
      <c r="C135" s="9">
        <v>1</v>
      </c>
      <c r="D135" s="9">
        <v>102.45</v>
      </c>
      <c r="G135" s="9">
        <f t="shared" si="33"/>
        <v>96.164074966365249</v>
      </c>
      <c r="H135" s="10">
        <v>98.815799999999996</v>
      </c>
      <c r="K135" s="9">
        <f t="shared" si="34"/>
        <v>99.893576773200266</v>
      </c>
      <c r="L135" s="9">
        <v>200.85</v>
      </c>
      <c r="M135" s="9">
        <f>AVERAGE(L135:L146)</f>
        <v>204.63333333333333</v>
      </c>
      <c r="N135" s="9">
        <v>102.1</v>
      </c>
      <c r="O135" s="9">
        <f t="shared" si="35"/>
        <v>50.833955688324615</v>
      </c>
      <c r="P135" s="9">
        <v>216274.02047999998</v>
      </c>
      <c r="Q135" s="9">
        <f t="shared" si="36"/>
        <v>216.27402047999999</v>
      </c>
      <c r="R135" s="9">
        <v>100.61648455</v>
      </c>
      <c r="S135" s="9">
        <f t="shared" si="37"/>
        <v>316.89050502999999</v>
      </c>
      <c r="T135" s="9">
        <f t="shared" si="38"/>
        <v>157.77470999751057</v>
      </c>
      <c r="U135" s="9">
        <v>99.959893949999994</v>
      </c>
      <c r="V135" s="13">
        <f t="shared" si="39"/>
        <v>49.768431142643763</v>
      </c>
      <c r="W135" s="13">
        <v>13785893007.47687</v>
      </c>
      <c r="X135" s="15">
        <f t="shared" ref="X135:X146" si="44">($W$135/$L$135)*100</f>
        <v>6863775458.0417576</v>
      </c>
      <c r="Y135" s="15">
        <f t="shared" si="43"/>
        <v>6863.7754580417577</v>
      </c>
      <c r="Z135" s="13">
        <f t="shared" si="40"/>
        <v>2.2986578008267751</v>
      </c>
      <c r="AA135" s="13">
        <f t="shared" si="41"/>
        <v>1.4563398025045338</v>
      </c>
      <c r="AB135" s="13">
        <f t="shared" si="42"/>
        <v>0.72508827607893145</v>
      </c>
    </row>
    <row r="136" spans="2:28" x14ac:dyDescent="0.3">
      <c r="B136">
        <v>2017</v>
      </c>
      <c r="C136">
        <v>2</v>
      </c>
      <c r="D136">
        <v>102.3</v>
      </c>
      <c r="G136" s="5">
        <f t="shared" si="33"/>
        <v>96.023278370514049</v>
      </c>
      <c r="H136" s="7">
        <v>98.435599999999994</v>
      </c>
      <c r="K136" s="5">
        <f t="shared" si="34"/>
        <v>99.509229959338811</v>
      </c>
      <c r="L136">
        <v>202.34</v>
      </c>
      <c r="N136" s="5">
        <v>107.6</v>
      </c>
      <c r="O136" s="5">
        <f t="shared" si="35"/>
        <v>53.177819511712954</v>
      </c>
      <c r="P136" s="5">
        <v>211740.30849999998</v>
      </c>
      <c r="Q136" s="5">
        <f t="shared" si="36"/>
        <v>211.7403085</v>
      </c>
      <c r="R136">
        <v>114.61070219</v>
      </c>
      <c r="S136" s="5">
        <f t="shared" si="37"/>
        <v>326.35101069000001</v>
      </c>
      <c r="T136" s="5">
        <f t="shared" si="38"/>
        <v>161.28843070574283</v>
      </c>
      <c r="U136">
        <v>121.00693765000003</v>
      </c>
      <c r="V136" s="12">
        <f t="shared" si="39"/>
        <v>59.803764777107851</v>
      </c>
      <c r="W136" s="12"/>
      <c r="X136" s="17">
        <f t="shared" si="44"/>
        <v>6863775458.0417576</v>
      </c>
      <c r="Y136" s="17">
        <f t="shared" si="43"/>
        <v>6863.7754580417577</v>
      </c>
      <c r="Z136" s="12">
        <f t="shared" si="40"/>
        <v>2.3498500452367446</v>
      </c>
      <c r="AA136" s="12">
        <f t="shared" si="41"/>
        <v>1.7629792581315509</v>
      </c>
      <c r="AB136" s="12">
        <f t="shared" si="42"/>
        <v>0.87129547204287372</v>
      </c>
    </row>
    <row r="137" spans="2:28" x14ac:dyDescent="0.3">
      <c r="B137">
        <v>2017</v>
      </c>
      <c r="C137">
        <v>3</v>
      </c>
      <c r="D137">
        <v>102.35</v>
      </c>
      <c r="G137" s="5">
        <f t="shared" si="33"/>
        <v>96.070210569131106</v>
      </c>
      <c r="H137" s="7">
        <v>99.049199999999999</v>
      </c>
      <c r="K137" s="5">
        <f t="shared" si="34"/>
        <v>100.1295224500947</v>
      </c>
      <c r="L137">
        <v>202.58</v>
      </c>
      <c r="N137" s="5">
        <v>113.6</v>
      </c>
      <c r="O137" s="5">
        <f t="shared" si="35"/>
        <v>56.076611708954481</v>
      </c>
      <c r="P137" s="5">
        <v>231655.62178000002</v>
      </c>
      <c r="Q137" s="5">
        <f t="shared" si="36"/>
        <v>231.65562178000002</v>
      </c>
      <c r="R137">
        <v>158.05430830999998</v>
      </c>
      <c r="S137" s="5">
        <f t="shared" si="37"/>
        <v>389.70993009</v>
      </c>
      <c r="T137" s="5">
        <f t="shared" si="38"/>
        <v>192.37334884490076</v>
      </c>
      <c r="U137">
        <v>155.03889211999999</v>
      </c>
      <c r="V137" s="12">
        <f t="shared" si="39"/>
        <v>76.532180926053897</v>
      </c>
      <c r="W137" s="12"/>
      <c r="X137" s="17">
        <f t="shared" si="44"/>
        <v>6863775458.0417576</v>
      </c>
      <c r="Y137" s="17">
        <f t="shared" si="43"/>
        <v>6863.7754580417577</v>
      </c>
      <c r="Z137" s="12">
        <f t="shared" si="40"/>
        <v>2.8027337144240594</v>
      </c>
      <c r="AA137" s="12">
        <f t="shared" si="41"/>
        <v>2.258799010366122</v>
      </c>
      <c r="AB137" s="12">
        <f t="shared" si="42"/>
        <v>1.1150158013457014</v>
      </c>
    </row>
    <row r="138" spans="2:28" x14ac:dyDescent="0.3">
      <c r="B138">
        <v>2017</v>
      </c>
      <c r="C138">
        <v>4</v>
      </c>
      <c r="D138">
        <v>102.27</v>
      </c>
      <c r="G138" s="5">
        <f t="shared" si="33"/>
        <v>95.995119051343806</v>
      </c>
      <c r="H138" s="7">
        <v>100.0416</v>
      </c>
      <c r="K138" s="5">
        <f t="shared" si="34"/>
        <v>101.13274648501344</v>
      </c>
      <c r="L138">
        <v>203.24</v>
      </c>
      <c r="N138" s="5">
        <v>108.4</v>
      </c>
      <c r="O138" s="5">
        <f t="shared" si="35"/>
        <v>53.335957488683327</v>
      </c>
      <c r="P138" s="5">
        <v>188388.49891000002</v>
      </c>
      <c r="Q138" s="5">
        <f t="shared" si="36"/>
        <v>188.38849891000001</v>
      </c>
      <c r="R138">
        <v>96.808778750000002</v>
      </c>
      <c r="S138" s="5">
        <f t="shared" si="37"/>
        <v>285.19727766</v>
      </c>
      <c r="T138" s="5">
        <f t="shared" si="38"/>
        <v>140.32536787049793</v>
      </c>
      <c r="U138">
        <v>139.65168600000001</v>
      </c>
      <c r="V138" s="12">
        <f t="shared" si="39"/>
        <v>68.712697303680386</v>
      </c>
      <c r="W138" s="12"/>
      <c r="X138" s="17">
        <f t="shared" si="44"/>
        <v>6863775458.0417576</v>
      </c>
      <c r="Y138" s="17">
        <f t="shared" si="43"/>
        <v>6863.7754580417577</v>
      </c>
      <c r="Z138" s="12">
        <f t="shared" si="40"/>
        <v>2.0444341270821949</v>
      </c>
      <c r="AA138" s="12">
        <f t="shared" si="41"/>
        <v>2.0346190934375756</v>
      </c>
      <c r="AB138" s="12">
        <f t="shared" si="42"/>
        <v>1.0010918586093169</v>
      </c>
    </row>
    <row r="139" spans="2:28" x14ac:dyDescent="0.3">
      <c r="B139">
        <v>2017</v>
      </c>
      <c r="C139">
        <v>5</v>
      </c>
      <c r="D139">
        <v>102.72</v>
      </c>
      <c r="G139" s="5">
        <f t="shared" si="33"/>
        <v>96.41750883889739</v>
      </c>
      <c r="H139" s="7">
        <v>100.128</v>
      </c>
      <c r="K139" s="5">
        <f t="shared" si="34"/>
        <v>101.22008884355535</v>
      </c>
      <c r="L139">
        <v>203.51</v>
      </c>
      <c r="N139" s="5">
        <v>121.2</v>
      </c>
      <c r="O139" s="5">
        <f t="shared" si="35"/>
        <v>59.554813031300682</v>
      </c>
      <c r="P139" s="5">
        <v>216644.74780000001</v>
      </c>
      <c r="Q139" s="5">
        <f t="shared" si="36"/>
        <v>216.6447478</v>
      </c>
      <c r="R139">
        <v>107.49966528000002</v>
      </c>
      <c r="S139" s="5">
        <f t="shared" si="37"/>
        <v>324.14441308000005</v>
      </c>
      <c r="T139" s="5">
        <f t="shared" si="38"/>
        <v>159.27689699769056</v>
      </c>
      <c r="U139">
        <v>140.07449406000001</v>
      </c>
      <c r="V139" s="12">
        <f t="shared" si="39"/>
        <v>68.829292938921924</v>
      </c>
      <c r="W139" s="12"/>
      <c r="X139" s="17">
        <f t="shared" si="44"/>
        <v>6863775458.0417576</v>
      </c>
      <c r="Y139" s="17">
        <f t="shared" si="43"/>
        <v>6863.7754580417577</v>
      </c>
      <c r="Z139" s="12">
        <f t="shared" si="40"/>
        <v>2.3205435255181328</v>
      </c>
      <c r="AA139" s="12">
        <f t="shared" si="41"/>
        <v>2.0407790860332629</v>
      </c>
      <c r="AB139" s="12">
        <f t="shared" si="42"/>
        <v>1.0027905685387761</v>
      </c>
    </row>
    <row r="140" spans="2:28" x14ac:dyDescent="0.3">
      <c r="B140">
        <v>2017</v>
      </c>
      <c r="C140">
        <v>6</v>
      </c>
      <c r="D140">
        <v>103.34</v>
      </c>
      <c r="G140" s="5">
        <f t="shared" si="33"/>
        <v>96.999468101749002</v>
      </c>
      <c r="H140" s="7">
        <v>100.337</v>
      </c>
      <c r="K140" s="5">
        <f t="shared" si="34"/>
        <v>101.43136839141711</v>
      </c>
      <c r="L140">
        <v>203.61</v>
      </c>
      <c r="N140" s="5">
        <v>111.1</v>
      </c>
      <c r="O140" s="5">
        <f t="shared" si="35"/>
        <v>54.565099945975135</v>
      </c>
      <c r="P140" s="5">
        <v>228067.27523999999</v>
      </c>
      <c r="Q140" s="5">
        <f t="shared" si="36"/>
        <v>228.06727523999999</v>
      </c>
      <c r="R140">
        <v>107.95847934000003</v>
      </c>
      <c r="S140" s="5">
        <f t="shared" si="37"/>
        <v>336.02575458000001</v>
      </c>
      <c r="T140" s="5">
        <f t="shared" si="38"/>
        <v>165.03401334904964</v>
      </c>
      <c r="U140">
        <v>134.37479855999999</v>
      </c>
      <c r="V140" s="12">
        <f t="shared" si="39"/>
        <v>65.996168439664046</v>
      </c>
      <c r="W140" s="12"/>
      <c r="X140" s="17">
        <f t="shared" si="44"/>
        <v>6863775458.0417576</v>
      </c>
      <c r="Y140" s="17">
        <f t="shared" si="43"/>
        <v>6863.7754580417577</v>
      </c>
      <c r="Z140" s="12">
        <f t="shared" si="40"/>
        <v>2.4044203420974677</v>
      </c>
      <c r="AA140" s="12">
        <f t="shared" si="41"/>
        <v>1.9577388476856912</v>
      </c>
      <c r="AB140" s="12">
        <f t="shared" si="42"/>
        <v>0.96151409443823532</v>
      </c>
    </row>
    <row r="141" spans="2:28" x14ac:dyDescent="0.3">
      <c r="B141">
        <v>2017</v>
      </c>
      <c r="C141">
        <v>7</v>
      </c>
      <c r="D141">
        <v>103.34</v>
      </c>
      <c r="G141" s="5">
        <f t="shared" si="33"/>
        <v>96.999468101749002</v>
      </c>
      <c r="H141" s="7">
        <v>100.0865</v>
      </c>
      <c r="K141" s="5">
        <f t="shared" si="34"/>
        <v>101.17813620606127</v>
      </c>
      <c r="L141">
        <v>204.4</v>
      </c>
      <c r="N141" s="5">
        <v>122.4</v>
      </c>
      <c r="O141" s="5">
        <f t="shared" si="35"/>
        <v>59.882583170254399</v>
      </c>
      <c r="P141" s="5">
        <v>222766.79079</v>
      </c>
      <c r="Q141" s="5">
        <f t="shared" si="36"/>
        <v>222.76679078999999</v>
      </c>
      <c r="R141">
        <v>99.567831959999978</v>
      </c>
      <c r="S141" s="5">
        <f t="shared" si="37"/>
        <v>322.33462274999999</v>
      </c>
      <c r="T141" s="5">
        <f t="shared" si="38"/>
        <v>157.69795633561642</v>
      </c>
      <c r="U141">
        <v>120.16953521999997</v>
      </c>
      <c r="V141" s="12">
        <f t="shared" si="39"/>
        <v>58.79135773972601</v>
      </c>
      <c r="W141" s="12"/>
      <c r="X141" s="17">
        <f t="shared" si="44"/>
        <v>6863775458.0417576</v>
      </c>
      <c r="Y141" s="17">
        <f t="shared" si="43"/>
        <v>6863.7754580417577</v>
      </c>
      <c r="Z141" s="12">
        <f t="shared" si="40"/>
        <v>2.29753955821579</v>
      </c>
      <c r="AA141" s="12">
        <f t="shared" si="41"/>
        <v>1.7507789401706984</v>
      </c>
      <c r="AB141" s="12">
        <f t="shared" si="42"/>
        <v>0.85654546975083079</v>
      </c>
    </row>
    <row r="142" spans="2:28" x14ac:dyDescent="0.3">
      <c r="B142">
        <v>2017</v>
      </c>
      <c r="C142">
        <v>8</v>
      </c>
      <c r="D142">
        <v>104.17</v>
      </c>
      <c r="G142" s="5">
        <f t="shared" si="33"/>
        <v>97.778542598792271</v>
      </c>
      <c r="H142" s="7">
        <v>99.632300000000001</v>
      </c>
      <c r="K142" s="5">
        <f t="shared" si="34"/>
        <v>100.71898227955975</v>
      </c>
      <c r="L142">
        <v>204.35</v>
      </c>
      <c r="N142" s="5">
        <v>120.4</v>
      </c>
      <c r="O142" s="5">
        <f t="shared" si="35"/>
        <v>58.918522143381459</v>
      </c>
      <c r="P142" s="5">
        <v>235040.03798999998</v>
      </c>
      <c r="Q142" s="5">
        <f t="shared" si="36"/>
        <v>235.04003798999997</v>
      </c>
      <c r="R142">
        <v>98.346313930000008</v>
      </c>
      <c r="S142" s="5">
        <f t="shared" si="37"/>
        <v>333.38635191999998</v>
      </c>
      <c r="T142" s="5">
        <f t="shared" si="38"/>
        <v>163.14477705896746</v>
      </c>
      <c r="U142">
        <v>101.90402712000002</v>
      </c>
      <c r="V142" s="12">
        <f t="shared" si="39"/>
        <v>49.867397660875959</v>
      </c>
      <c r="W142" s="12"/>
      <c r="X142" s="17">
        <f t="shared" si="44"/>
        <v>6863775458.0417576</v>
      </c>
      <c r="Y142" s="17">
        <f t="shared" si="43"/>
        <v>6863.7754580417577</v>
      </c>
      <c r="Z142" s="12">
        <f t="shared" si="40"/>
        <v>2.3768956029559982</v>
      </c>
      <c r="AA142" s="12">
        <f t="shared" si="41"/>
        <v>1.4846643475291272</v>
      </c>
      <c r="AB142" s="12">
        <f t="shared" si="42"/>
        <v>0.72653014315102871</v>
      </c>
    </row>
    <row r="143" spans="2:28" x14ac:dyDescent="0.3">
      <c r="B143">
        <v>2017</v>
      </c>
      <c r="C143">
        <v>9</v>
      </c>
      <c r="D143">
        <v>104.88</v>
      </c>
      <c r="G143" s="5">
        <f t="shared" si="33"/>
        <v>98.444979819154582</v>
      </c>
      <c r="H143" s="7">
        <v>99.748199999999997</v>
      </c>
      <c r="K143" s="5">
        <f t="shared" si="34"/>
        <v>100.83614639246491</v>
      </c>
      <c r="L143">
        <v>205.01</v>
      </c>
      <c r="N143" s="5">
        <v>112.8</v>
      </c>
      <c r="O143" s="5">
        <f t="shared" si="35"/>
        <v>55.021706258231305</v>
      </c>
      <c r="P143" s="5">
        <v>221590.58118000004</v>
      </c>
      <c r="Q143" s="5">
        <f t="shared" si="36"/>
        <v>221.59058118000004</v>
      </c>
      <c r="R143">
        <v>90.311035579999995</v>
      </c>
      <c r="S143" s="5">
        <f t="shared" si="37"/>
        <v>311.90161676000002</v>
      </c>
      <c r="T143" s="5">
        <f t="shared" si="38"/>
        <v>152.13970867762549</v>
      </c>
      <c r="U143">
        <v>87.14671405</v>
      </c>
      <c r="V143" s="12">
        <f t="shared" si="39"/>
        <v>42.508518633237408</v>
      </c>
      <c r="W143" s="12"/>
      <c r="X143" s="17">
        <f t="shared" si="44"/>
        <v>6863775458.0417576</v>
      </c>
      <c r="Y143" s="17">
        <f t="shared" si="43"/>
        <v>6863.7754580417577</v>
      </c>
      <c r="Z143" s="12">
        <f t="shared" si="40"/>
        <v>2.2165601075917354</v>
      </c>
      <c r="AA143" s="12">
        <f t="shared" si="41"/>
        <v>1.2696614943587192</v>
      </c>
      <c r="AB143" s="12">
        <f t="shared" si="42"/>
        <v>0.61931685984035867</v>
      </c>
    </row>
    <row r="144" spans="2:28" x14ac:dyDescent="0.3">
      <c r="B144">
        <v>2017</v>
      </c>
      <c r="C144">
        <v>10</v>
      </c>
      <c r="D144">
        <v>104.65</v>
      </c>
      <c r="G144" s="5">
        <f t="shared" si="33"/>
        <v>98.229091705516083</v>
      </c>
      <c r="H144" s="7">
        <v>100.9893</v>
      </c>
      <c r="K144" s="5">
        <f t="shared" si="34"/>
        <v>102.09078298026989</v>
      </c>
      <c r="L144">
        <v>206.13</v>
      </c>
      <c r="N144" s="5">
        <v>118.5</v>
      </c>
      <c r="O144" s="5">
        <f t="shared" si="35"/>
        <v>57.487993014117308</v>
      </c>
      <c r="P144" s="5">
        <v>239472.55232000002</v>
      </c>
      <c r="Q144" s="5">
        <f t="shared" si="36"/>
        <v>239.47255232000001</v>
      </c>
      <c r="R144">
        <v>88.735887599999984</v>
      </c>
      <c r="S144" s="5">
        <f t="shared" si="37"/>
        <v>328.20843991999999</v>
      </c>
      <c r="T144" s="5">
        <f t="shared" si="38"/>
        <v>159.22400423034006</v>
      </c>
      <c r="U144">
        <v>87.127849369999993</v>
      </c>
      <c r="V144" s="12">
        <f t="shared" si="39"/>
        <v>42.268398277785863</v>
      </c>
      <c r="W144" s="12"/>
      <c r="X144" s="17">
        <f t="shared" si="44"/>
        <v>6863775458.0417576</v>
      </c>
      <c r="Y144" s="17">
        <f t="shared" si="43"/>
        <v>6863.7754580417577</v>
      </c>
      <c r="Z144" s="12">
        <f t="shared" si="40"/>
        <v>2.3197729180343383</v>
      </c>
      <c r="AA144" s="12">
        <f t="shared" si="41"/>
        <v>1.2693866502861628</v>
      </c>
      <c r="AB144" s="12">
        <f t="shared" si="42"/>
        <v>0.61581848847143206</v>
      </c>
    </row>
    <row r="145" spans="2:28" x14ac:dyDescent="0.3">
      <c r="B145">
        <v>2017</v>
      </c>
      <c r="C145">
        <v>11</v>
      </c>
      <c r="D145">
        <v>103.91</v>
      </c>
      <c r="G145" s="5">
        <f t="shared" si="33"/>
        <v>97.534495165983529</v>
      </c>
      <c r="H145" s="7">
        <v>101.24930000000001</v>
      </c>
      <c r="K145" s="5">
        <f t="shared" si="34"/>
        <v>102.35361878143765</v>
      </c>
      <c r="L145">
        <v>208.62</v>
      </c>
      <c r="N145" s="5">
        <v>116</v>
      </c>
      <c r="O145" s="5">
        <f t="shared" si="35"/>
        <v>55.60348959831272</v>
      </c>
      <c r="P145" s="5">
        <v>238483.28084999998</v>
      </c>
      <c r="Q145" s="5">
        <f t="shared" si="36"/>
        <v>238.48328084999997</v>
      </c>
      <c r="R145">
        <v>85.383639909999999</v>
      </c>
      <c r="S145" s="5">
        <f t="shared" si="37"/>
        <v>323.86692075999997</v>
      </c>
      <c r="T145" s="5">
        <f t="shared" si="38"/>
        <v>155.24250827341578</v>
      </c>
      <c r="U145">
        <v>78.971551140000003</v>
      </c>
      <c r="V145" s="12">
        <f t="shared" si="39"/>
        <v>37.854257089444928</v>
      </c>
      <c r="W145" s="12"/>
      <c r="X145" s="17">
        <f t="shared" si="44"/>
        <v>6863775458.0417576</v>
      </c>
      <c r="Y145" s="17">
        <f t="shared" si="43"/>
        <v>6863.7754580417577</v>
      </c>
      <c r="Z145" s="12">
        <f t="shared" si="40"/>
        <v>2.2617655432117916</v>
      </c>
      <c r="AA145" s="12">
        <f t="shared" si="41"/>
        <v>1.1505555743009499</v>
      </c>
      <c r="AB145" s="12">
        <f t="shared" si="42"/>
        <v>0.55150780093037577</v>
      </c>
    </row>
    <row r="146" spans="2:28" x14ac:dyDescent="0.3">
      <c r="B146">
        <v>2017</v>
      </c>
      <c r="C146">
        <v>12</v>
      </c>
      <c r="D146">
        <v>103.36</v>
      </c>
      <c r="G146" s="5">
        <f t="shared" si="33"/>
        <v>97.018240981195817</v>
      </c>
      <c r="H146" s="7">
        <v>101.4871</v>
      </c>
      <c r="K146" s="5">
        <f t="shared" si="34"/>
        <v>102.59401244881337</v>
      </c>
      <c r="L146">
        <v>210.96</v>
      </c>
      <c r="N146" s="5">
        <v>136.69999999999999</v>
      </c>
      <c r="O146" s="5">
        <f t="shared" si="35"/>
        <v>64.799014031095936</v>
      </c>
      <c r="P146" s="5">
        <v>187962.63459</v>
      </c>
      <c r="Q146" s="5">
        <f t="shared" si="36"/>
        <v>187.96263458999999</v>
      </c>
      <c r="R146">
        <v>86.312930900000012</v>
      </c>
      <c r="S146" s="5">
        <f t="shared" si="37"/>
        <v>274.27556549000002</v>
      </c>
      <c r="T146" s="5">
        <f t="shared" si="38"/>
        <v>130.01306669036785</v>
      </c>
      <c r="U146">
        <v>85.693105189999997</v>
      </c>
      <c r="V146" s="12">
        <f t="shared" si="39"/>
        <v>40.620546639173298</v>
      </c>
      <c r="W146" s="12"/>
      <c r="X146" s="17">
        <f t="shared" si="44"/>
        <v>6863775458.0417576</v>
      </c>
      <c r="Y146" s="17">
        <f t="shared" si="43"/>
        <v>6863.7754580417577</v>
      </c>
      <c r="Z146" s="12">
        <f t="shared" si="40"/>
        <v>1.894191724148574</v>
      </c>
      <c r="AA146" s="12">
        <f t="shared" si="41"/>
        <v>1.2484835163073404</v>
      </c>
      <c r="AB146" s="12">
        <f t="shared" si="42"/>
        <v>0.59181054053248972</v>
      </c>
    </row>
    <row r="147" spans="2:28" s="9" customFormat="1" x14ac:dyDescent="0.3">
      <c r="B147" s="9">
        <v>2018</v>
      </c>
      <c r="C147" s="9">
        <v>1</v>
      </c>
      <c r="D147" s="9">
        <v>104.09</v>
      </c>
      <c r="G147" s="9">
        <f t="shared" si="33"/>
        <v>97.703451081004971</v>
      </c>
      <c r="H147" s="10">
        <v>101.48520000000001</v>
      </c>
      <c r="K147" s="9">
        <f t="shared" si="34"/>
        <v>102.592091725651</v>
      </c>
      <c r="L147" s="9">
        <v>211.61</v>
      </c>
      <c r="M147" s="9">
        <f>AVERAGE(L147:L158)</f>
        <v>214.75416666666669</v>
      </c>
      <c r="N147" s="9">
        <v>112.9</v>
      </c>
      <c r="O147" s="9">
        <f t="shared" si="35"/>
        <v>53.352866121638861</v>
      </c>
      <c r="P147" s="9">
        <v>246784.05937000003</v>
      </c>
      <c r="Q147" s="9">
        <f t="shared" si="36"/>
        <v>246.78405937000002</v>
      </c>
      <c r="R147" s="9">
        <v>107.46713118999999</v>
      </c>
      <c r="S147" s="9">
        <f t="shared" si="37"/>
        <v>354.25119056</v>
      </c>
      <c r="T147" s="9">
        <f t="shared" si="38"/>
        <v>167.40758497235478</v>
      </c>
      <c r="U147" s="9">
        <v>111.3247622</v>
      </c>
      <c r="V147" s="13">
        <f t="shared" si="39"/>
        <v>52.608459997164594</v>
      </c>
      <c r="W147" s="13">
        <v>13025221974.231974</v>
      </c>
      <c r="X147" s="15">
        <f t="shared" ref="X147:X158" si="45">($W$147/$L$147)*100</f>
        <v>6155296051.3359356</v>
      </c>
      <c r="Y147" s="15">
        <f t="shared" si="43"/>
        <v>6155.2960513359358</v>
      </c>
      <c r="Z147" s="13">
        <f t="shared" si="40"/>
        <v>2.7197324641439611</v>
      </c>
      <c r="AA147" s="13">
        <f t="shared" si="41"/>
        <v>1.8086012642046396</v>
      </c>
      <c r="AB147" s="13">
        <f t="shared" si="42"/>
        <v>0.85468610377800647</v>
      </c>
    </row>
    <row r="148" spans="2:28" x14ac:dyDescent="0.3">
      <c r="B148">
        <v>2018</v>
      </c>
      <c r="C148">
        <v>2</v>
      </c>
      <c r="D148">
        <v>104.45</v>
      </c>
      <c r="G148" s="5">
        <f t="shared" si="33"/>
        <v>98.041362911047827</v>
      </c>
      <c r="H148" s="7">
        <v>101.7319</v>
      </c>
      <c r="K148" s="5">
        <f t="shared" si="34"/>
        <v>102.84148246468209</v>
      </c>
      <c r="L148">
        <v>212.08</v>
      </c>
      <c r="N148" s="5">
        <v>116.9</v>
      </c>
      <c r="O148" s="5">
        <f t="shared" si="35"/>
        <v>55.12070916635232</v>
      </c>
      <c r="P148" s="5">
        <v>224604.74078999995</v>
      </c>
      <c r="Q148" s="5">
        <f t="shared" si="36"/>
        <v>224.60474078999997</v>
      </c>
      <c r="R148">
        <v>112.95547367</v>
      </c>
      <c r="S148" s="5">
        <f t="shared" si="37"/>
        <v>337.56021446</v>
      </c>
      <c r="T148" s="5">
        <f t="shared" si="38"/>
        <v>159.16645344209732</v>
      </c>
      <c r="U148">
        <v>120.44840421999999</v>
      </c>
      <c r="V148" s="12">
        <f t="shared" si="39"/>
        <v>56.793853366654076</v>
      </c>
      <c r="W148" s="12"/>
      <c r="X148" s="17">
        <f t="shared" si="45"/>
        <v>6155296051.3359356</v>
      </c>
      <c r="Y148" s="17">
        <f t="shared" si="43"/>
        <v>6155.2960513359358</v>
      </c>
      <c r="Z148" s="12">
        <f t="shared" si="40"/>
        <v>2.5858456216342685</v>
      </c>
      <c r="AA148" s="12">
        <f t="shared" si="41"/>
        <v>1.9568255241574943</v>
      </c>
      <c r="AB148" s="12">
        <f t="shared" si="42"/>
        <v>0.92268272546090824</v>
      </c>
    </row>
    <row r="149" spans="2:28" x14ac:dyDescent="0.3">
      <c r="B149">
        <v>2018</v>
      </c>
      <c r="C149">
        <v>3</v>
      </c>
      <c r="D149">
        <v>104.59</v>
      </c>
      <c r="G149" s="5">
        <f t="shared" si="33"/>
        <v>98.172773067175612</v>
      </c>
      <c r="H149" s="7">
        <v>102.1943</v>
      </c>
      <c r="K149" s="5">
        <f t="shared" si="34"/>
        <v>103.30892582798965</v>
      </c>
      <c r="L149">
        <v>212.38</v>
      </c>
      <c r="N149" s="5">
        <v>123.6</v>
      </c>
      <c r="O149" s="5">
        <f t="shared" si="35"/>
        <v>58.197570392692342</v>
      </c>
      <c r="P149" s="5">
        <v>227999.15104</v>
      </c>
      <c r="Q149" s="5">
        <f t="shared" si="36"/>
        <v>227.99915103999999</v>
      </c>
      <c r="R149">
        <v>138.70712564000004</v>
      </c>
      <c r="S149" s="5">
        <f t="shared" si="37"/>
        <v>366.70627668000003</v>
      </c>
      <c r="T149" s="5">
        <f t="shared" si="38"/>
        <v>172.66516464827197</v>
      </c>
      <c r="U149">
        <v>144.42164989</v>
      </c>
      <c r="V149" s="12">
        <f t="shared" si="39"/>
        <v>68.001530224126554</v>
      </c>
      <c r="W149" s="12"/>
      <c r="X149" s="17">
        <f t="shared" si="45"/>
        <v>6155296051.3359356</v>
      </c>
      <c r="Y149" s="17">
        <f t="shared" si="43"/>
        <v>6155.2960513359358</v>
      </c>
      <c r="Z149" s="12">
        <f t="shared" si="40"/>
        <v>2.8051480092626413</v>
      </c>
      <c r="AA149" s="12">
        <f t="shared" si="41"/>
        <v>2.3462990030943343</v>
      </c>
      <c r="AB149" s="12">
        <f t="shared" si="42"/>
        <v>1.1047645743922847</v>
      </c>
    </row>
    <row r="150" spans="2:28" x14ac:dyDescent="0.3">
      <c r="B150">
        <v>2018</v>
      </c>
      <c r="C150">
        <v>4</v>
      </c>
      <c r="D150">
        <v>104.86</v>
      </c>
      <c r="G150" s="5">
        <f t="shared" si="33"/>
        <v>98.426206939707754</v>
      </c>
      <c r="H150" s="7">
        <v>103.35509999999999</v>
      </c>
      <c r="K150" s="5">
        <f t="shared" si="34"/>
        <v>104.48238658951088</v>
      </c>
      <c r="L150">
        <v>213.04</v>
      </c>
      <c r="N150" s="5">
        <v>128.9</v>
      </c>
      <c r="O150" s="5">
        <f t="shared" si="35"/>
        <v>60.505069470521974</v>
      </c>
      <c r="P150" s="5">
        <v>251044.15129999997</v>
      </c>
      <c r="Q150" s="5">
        <f t="shared" si="36"/>
        <v>251.04415129999998</v>
      </c>
      <c r="R150">
        <v>103.71842954999997</v>
      </c>
      <c r="S150" s="5">
        <f t="shared" si="37"/>
        <v>354.76258084999995</v>
      </c>
      <c r="T150" s="5">
        <f t="shared" si="38"/>
        <v>166.52393017743145</v>
      </c>
      <c r="U150">
        <v>150.18344826999999</v>
      </c>
      <c r="V150" s="12">
        <f t="shared" si="39"/>
        <v>70.495422582613585</v>
      </c>
      <c r="W150" s="12"/>
      <c r="X150" s="17">
        <f t="shared" si="45"/>
        <v>6155296051.3359356</v>
      </c>
      <c r="Y150" s="17">
        <f t="shared" si="43"/>
        <v>6155.2960513359358</v>
      </c>
      <c r="Z150" s="12">
        <f t="shared" si="40"/>
        <v>2.705376456121706</v>
      </c>
      <c r="AA150" s="12">
        <f t="shared" si="41"/>
        <v>2.4399061721394277</v>
      </c>
      <c r="AB150" s="12">
        <f t="shared" si="42"/>
        <v>1.1452807792618418</v>
      </c>
    </row>
    <row r="151" spans="2:28" x14ac:dyDescent="0.3">
      <c r="B151">
        <v>2018</v>
      </c>
      <c r="C151">
        <v>5</v>
      </c>
      <c r="D151">
        <v>105.39</v>
      </c>
      <c r="G151" s="5">
        <f t="shared" si="33"/>
        <v>98.923688245048638</v>
      </c>
      <c r="H151" s="7">
        <v>102.381</v>
      </c>
      <c r="K151" s="5">
        <f t="shared" si="34"/>
        <v>103.49766215136665</v>
      </c>
      <c r="L151">
        <v>214.22</v>
      </c>
      <c r="N151" s="5">
        <v>127.1</v>
      </c>
      <c r="O151" s="5">
        <f t="shared" si="35"/>
        <v>59.331528335356175</v>
      </c>
      <c r="P151" s="5">
        <v>229235.25536999997</v>
      </c>
      <c r="Q151" s="5">
        <f t="shared" si="36"/>
        <v>229.23525536999998</v>
      </c>
      <c r="R151">
        <v>100.68800037</v>
      </c>
      <c r="S151" s="5">
        <f t="shared" si="37"/>
        <v>329.92325573999995</v>
      </c>
      <c r="T151" s="5">
        <f t="shared" si="38"/>
        <v>154.01141617962838</v>
      </c>
      <c r="U151">
        <v>139.53476993000001</v>
      </c>
      <c r="V151" s="12">
        <f t="shared" si="39"/>
        <v>65.136201068994495</v>
      </c>
      <c r="W151" s="12"/>
      <c r="X151" s="17">
        <f t="shared" si="45"/>
        <v>6155296051.3359356</v>
      </c>
      <c r="Y151" s="17">
        <f t="shared" si="43"/>
        <v>6155.2960513359358</v>
      </c>
      <c r="Z151" s="12">
        <f t="shared" si="40"/>
        <v>2.5020959982290694</v>
      </c>
      <c r="AA151" s="12">
        <f t="shared" si="41"/>
        <v>2.266905909419509</v>
      </c>
      <c r="AB151" s="12">
        <f t="shared" si="42"/>
        <v>1.0582139433383946</v>
      </c>
    </row>
    <row r="152" spans="2:28" x14ac:dyDescent="0.3">
      <c r="B152">
        <v>2018</v>
      </c>
      <c r="C152">
        <v>6</v>
      </c>
      <c r="D152">
        <v>105.78</v>
      </c>
      <c r="G152" s="5">
        <f t="shared" si="33"/>
        <v>99.28975939426175</v>
      </c>
      <c r="H152" s="7">
        <v>103.2256</v>
      </c>
      <c r="K152" s="5">
        <f t="shared" si="34"/>
        <v>104.3514741423908</v>
      </c>
      <c r="L152">
        <v>215.15</v>
      </c>
      <c r="N152" s="5">
        <v>115.2</v>
      </c>
      <c r="O152" s="5">
        <f t="shared" si="35"/>
        <v>53.544039042528468</v>
      </c>
      <c r="P152" s="5">
        <v>193631.11223999999</v>
      </c>
      <c r="Q152" s="5">
        <f t="shared" si="36"/>
        <v>193.63111223999999</v>
      </c>
      <c r="R152">
        <v>72.430632209999985</v>
      </c>
      <c r="S152" s="5">
        <f t="shared" si="37"/>
        <v>266.06174444999999</v>
      </c>
      <c r="T152" s="5">
        <f t="shared" si="38"/>
        <v>123.66337181036486</v>
      </c>
      <c r="U152">
        <v>118.27673068999999</v>
      </c>
      <c r="V152" s="12">
        <f t="shared" si="39"/>
        <v>54.974078870555424</v>
      </c>
      <c r="W152" s="12"/>
      <c r="X152" s="17">
        <f t="shared" si="45"/>
        <v>6155296051.3359356</v>
      </c>
      <c r="Y152" s="17">
        <f t="shared" si="43"/>
        <v>6155.2960513359358</v>
      </c>
      <c r="Z152" s="12">
        <f t="shared" si="40"/>
        <v>2.0090564414610919</v>
      </c>
      <c r="AA152" s="12">
        <f t="shared" si="41"/>
        <v>1.9215441418829791</v>
      </c>
      <c r="AB152" s="12">
        <f t="shared" si="42"/>
        <v>0.89311835551149388</v>
      </c>
    </row>
    <row r="153" spans="2:28" x14ac:dyDescent="0.3">
      <c r="B153">
        <v>2018</v>
      </c>
      <c r="C153">
        <v>7</v>
      </c>
      <c r="D153">
        <v>106.47</v>
      </c>
      <c r="G153" s="5">
        <f t="shared" si="33"/>
        <v>99.937423735177234</v>
      </c>
      <c r="H153" s="7">
        <v>103.3561</v>
      </c>
      <c r="K153" s="5">
        <f t="shared" si="34"/>
        <v>104.48339749643846</v>
      </c>
      <c r="L153">
        <v>214.97</v>
      </c>
      <c r="N153" s="5">
        <v>124.4</v>
      </c>
      <c r="O153" s="5">
        <f t="shared" si="35"/>
        <v>57.868539796250637</v>
      </c>
      <c r="P153" s="5">
        <v>279719.61832999997</v>
      </c>
      <c r="Q153" s="5">
        <f t="shared" si="36"/>
        <v>279.71961832999995</v>
      </c>
      <c r="R153">
        <v>98.970071640000015</v>
      </c>
      <c r="S153" s="5">
        <f t="shared" si="37"/>
        <v>378.68968996999996</v>
      </c>
      <c r="T153" s="5">
        <f t="shared" si="38"/>
        <v>176.15931989114759</v>
      </c>
      <c r="U153">
        <v>106.44799132</v>
      </c>
      <c r="V153" s="12">
        <f t="shared" si="39"/>
        <v>49.51760307019584</v>
      </c>
      <c r="W153" s="12"/>
      <c r="X153" s="17">
        <f t="shared" si="45"/>
        <v>6155296051.3359356</v>
      </c>
      <c r="Y153" s="17">
        <f t="shared" si="43"/>
        <v>6155.2960513359358</v>
      </c>
      <c r="Z153" s="12">
        <f t="shared" si="40"/>
        <v>2.8619146572635485</v>
      </c>
      <c r="AA153" s="12">
        <f t="shared" si="41"/>
        <v>1.7293724043849472</v>
      </c>
      <c r="AB153" s="12">
        <f t="shared" si="42"/>
        <v>0.80447150969202552</v>
      </c>
    </row>
    <row r="154" spans="2:28" x14ac:dyDescent="0.3">
      <c r="B154">
        <v>2018</v>
      </c>
      <c r="C154">
        <v>8</v>
      </c>
      <c r="D154">
        <v>107.31</v>
      </c>
      <c r="G154" s="5">
        <f t="shared" si="33"/>
        <v>100.72588467194392</v>
      </c>
      <c r="H154" s="7">
        <v>104.0585</v>
      </c>
      <c r="K154" s="5">
        <f t="shared" si="34"/>
        <v>105.19345852236241</v>
      </c>
      <c r="L154">
        <v>214.47</v>
      </c>
      <c r="N154" s="5">
        <v>126.7</v>
      </c>
      <c r="O154" s="5">
        <f t="shared" si="35"/>
        <v>59.075861425840451</v>
      </c>
      <c r="P154" s="5">
        <v>275431.4522</v>
      </c>
      <c r="Q154" s="5">
        <f t="shared" si="36"/>
        <v>275.43145220000002</v>
      </c>
      <c r="R154">
        <v>121.62273735000001</v>
      </c>
      <c r="S154" s="5">
        <f t="shared" si="37"/>
        <v>397.05418955000005</v>
      </c>
      <c r="T154" s="5">
        <f t="shared" si="38"/>
        <v>185.13274096610252</v>
      </c>
      <c r="U154">
        <v>96.231735090000001</v>
      </c>
      <c r="V154" s="12">
        <f t="shared" si="39"/>
        <v>44.869555224506925</v>
      </c>
      <c r="W154" s="12"/>
      <c r="X154" s="17">
        <f t="shared" si="45"/>
        <v>6155296051.3359356</v>
      </c>
      <c r="Y154" s="17">
        <f t="shared" si="43"/>
        <v>6155.2960513359358</v>
      </c>
      <c r="Z154" s="12">
        <f t="shared" si="40"/>
        <v>3.0076984018651971</v>
      </c>
      <c r="AA154" s="12">
        <f t="shared" si="41"/>
        <v>1.5633973457558392</v>
      </c>
      <c r="AB154" s="12">
        <f t="shared" si="42"/>
        <v>0.72895852368901914</v>
      </c>
    </row>
    <row r="155" spans="2:28" x14ac:dyDescent="0.3">
      <c r="B155">
        <v>2018</v>
      </c>
      <c r="C155">
        <v>9</v>
      </c>
      <c r="D155">
        <v>107.48</v>
      </c>
      <c r="G155" s="5">
        <f t="shared" si="33"/>
        <v>100.88545414724194</v>
      </c>
      <c r="H155" s="7">
        <v>104.10380000000001</v>
      </c>
      <c r="K155" s="5">
        <f t="shared" si="34"/>
        <v>105.23925260618127</v>
      </c>
      <c r="L155">
        <v>215.54</v>
      </c>
      <c r="N155" s="5">
        <v>121.7</v>
      </c>
      <c r="O155" s="5">
        <f t="shared" si="35"/>
        <v>56.462837524357433</v>
      </c>
      <c r="P155" s="5">
        <v>230116.39298999996</v>
      </c>
      <c r="Q155" s="5">
        <f t="shared" si="36"/>
        <v>230.11639298999995</v>
      </c>
      <c r="R155">
        <v>87.883610550000014</v>
      </c>
      <c r="S155" s="5">
        <f t="shared" si="37"/>
        <v>318.00000353999997</v>
      </c>
      <c r="T155" s="5">
        <f t="shared" si="38"/>
        <v>147.5364217964183</v>
      </c>
      <c r="U155">
        <v>91.521092950000011</v>
      </c>
      <c r="V155" s="12">
        <f t="shared" si="39"/>
        <v>42.461303215180486</v>
      </c>
      <c r="W155" s="12"/>
      <c r="X155" s="17">
        <f t="shared" si="45"/>
        <v>6155296051.3359356</v>
      </c>
      <c r="Y155" s="17">
        <f t="shared" si="43"/>
        <v>6155.2960513359358</v>
      </c>
      <c r="Z155" s="12">
        <f t="shared" si="40"/>
        <v>2.3969021240561972</v>
      </c>
      <c r="AA155" s="12">
        <f t="shared" si="41"/>
        <v>1.4868674420645682</v>
      </c>
      <c r="AB155" s="12">
        <f t="shared" si="42"/>
        <v>0.68983364668486991</v>
      </c>
    </row>
    <row r="156" spans="2:28" x14ac:dyDescent="0.3">
      <c r="B156">
        <v>2018</v>
      </c>
      <c r="C156">
        <v>10</v>
      </c>
      <c r="D156">
        <v>107.67</v>
      </c>
      <c r="G156" s="5">
        <f t="shared" si="33"/>
        <v>101.06379650198679</v>
      </c>
      <c r="H156" s="7">
        <v>103.9297</v>
      </c>
      <c r="K156" s="5">
        <f t="shared" si="34"/>
        <v>105.06325371009162</v>
      </c>
      <c r="L156">
        <v>216.65</v>
      </c>
      <c r="N156" s="5">
        <v>128.9</v>
      </c>
      <c r="O156" s="5">
        <f t="shared" si="35"/>
        <v>59.496884375721216</v>
      </c>
      <c r="P156" s="5">
        <v>265588.14916999999</v>
      </c>
      <c r="Q156" s="5">
        <f t="shared" si="36"/>
        <v>265.58814917000001</v>
      </c>
      <c r="R156">
        <v>97.991227400000014</v>
      </c>
      <c r="S156" s="5">
        <f t="shared" si="37"/>
        <v>363.57937657000002</v>
      </c>
      <c r="T156" s="5">
        <f t="shared" si="38"/>
        <v>167.81877524578815</v>
      </c>
      <c r="U156">
        <v>78.467182380000011</v>
      </c>
      <c r="V156" s="12">
        <f t="shared" si="39"/>
        <v>36.21840866835911</v>
      </c>
      <c r="W156" s="12"/>
      <c r="X156" s="17">
        <f t="shared" si="45"/>
        <v>6155296051.3359356</v>
      </c>
      <c r="Y156" s="17">
        <f t="shared" si="43"/>
        <v>6155.2960513359358</v>
      </c>
      <c r="Z156" s="12">
        <f t="shared" si="40"/>
        <v>2.726412732160381</v>
      </c>
      <c r="AA156" s="12">
        <f t="shared" si="41"/>
        <v>1.2747913621956433</v>
      </c>
      <c r="AB156" s="12">
        <f t="shared" si="42"/>
        <v>0.58841050643694581</v>
      </c>
    </row>
    <row r="157" spans="2:28" x14ac:dyDescent="0.3">
      <c r="B157">
        <v>2018</v>
      </c>
      <c r="C157">
        <v>11</v>
      </c>
      <c r="D157">
        <v>107.73</v>
      </c>
      <c r="G157" s="5">
        <f t="shared" si="33"/>
        <v>101.12011514032726</v>
      </c>
      <c r="H157" s="7">
        <v>104.01260000000001</v>
      </c>
      <c r="K157" s="5">
        <f t="shared" si="34"/>
        <v>105.14705789438703</v>
      </c>
      <c r="L157">
        <v>217.79</v>
      </c>
      <c r="N157" s="5">
        <v>125.4</v>
      </c>
      <c r="O157" s="5">
        <f t="shared" si="35"/>
        <v>57.578401212176878</v>
      </c>
      <c r="P157" s="5">
        <v>244889.66166000001</v>
      </c>
      <c r="Q157" s="5">
        <f t="shared" si="36"/>
        <v>244.88966166</v>
      </c>
      <c r="R157">
        <v>104.78244228</v>
      </c>
      <c r="S157" s="5">
        <f t="shared" si="37"/>
        <v>349.67210394</v>
      </c>
      <c r="T157" s="5">
        <f t="shared" si="38"/>
        <v>160.55471047339179</v>
      </c>
      <c r="U157">
        <v>77.925638079999999</v>
      </c>
      <c r="V157" s="12">
        <f t="shared" si="39"/>
        <v>35.780172680104691</v>
      </c>
      <c r="W157" s="12"/>
      <c r="X157" s="17">
        <f t="shared" si="45"/>
        <v>6155296051.3359356</v>
      </c>
      <c r="Y157" s="17">
        <f t="shared" si="43"/>
        <v>6155.2960513359358</v>
      </c>
      <c r="Z157" s="12">
        <f t="shared" si="40"/>
        <v>2.608399484514563</v>
      </c>
      <c r="AA157" s="12">
        <f t="shared" si="41"/>
        <v>1.265993340208017</v>
      </c>
      <c r="AB157" s="12">
        <f t="shared" si="42"/>
        <v>0.58129084907847806</v>
      </c>
    </row>
    <row r="158" spans="2:28" x14ac:dyDescent="0.3">
      <c r="B158">
        <v>2018</v>
      </c>
      <c r="C158">
        <v>12</v>
      </c>
      <c r="D158">
        <v>107.3</v>
      </c>
      <c r="G158" s="5">
        <f t="shared" si="33"/>
        <v>100.7164982322205</v>
      </c>
      <c r="H158" s="7">
        <v>104.04510000000001</v>
      </c>
      <c r="K158" s="5">
        <f t="shared" si="34"/>
        <v>105.179912369533</v>
      </c>
      <c r="L158">
        <v>219.15</v>
      </c>
      <c r="N158" s="5">
        <v>149.5</v>
      </c>
      <c r="O158" s="5">
        <f t="shared" si="35"/>
        <v>68.218115446041523</v>
      </c>
      <c r="P158" s="5">
        <v>201295.29428999999</v>
      </c>
      <c r="Q158" s="5">
        <f t="shared" si="36"/>
        <v>201.29529428999999</v>
      </c>
      <c r="R158">
        <v>88.25270778499997</v>
      </c>
      <c r="S158" s="5">
        <f t="shared" si="37"/>
        <v>289.54800207499994</v>
      </c>
      <c r="T158" s="5">
        <f t="shared" si="38"/>
        <v>132.12320423226097</v>
      </c>
      <c r="U158">
        <v>75.499285960000009</v>
      </c>
      <c r="V158" s="12">
        <f t="shared" si="39"/>
        <v>34.450963248916274</v>
      </c>
      <c r="W158" s="12"/>
      <c r="X158" s="17">
        <f t="shared" si="45"/>
        <v>6155296051.3359356</v>
      </c>
      <c r="Y158" s="17">
        <f t="shared" si="43"/>
        <v>6155.2960513359358</v>
      </c>
      <c r="Z158" s="12">
        <f t="shared" si="40"/>
        <v>2.1464963363311362</v>
      </c>
      <c r="AA158" s="12">
        <f t="shared" si="41"/>
        <v>1.2265744056878267</v>
      </c>
      <c r="AB158" s="12">
        <f t="shared" si="42"/>
        <v>0.55969628368141755</v>
      </c>
    </row>
    <row r="159" spans="2:28" s="9" customFormat="1" x14ac:dyDescent="0.3">
      <c r="B159" s="9">
        <v>2019</v>
      </c>
      <c r="C159" s="9">
        <v>1</v>
      </c>
      <c r="D159" s="9">
        <v>108.32</v>
      </c>
      <c r="G159" s="9">
        <f t="shared" si="33"/>
        <v>101.67391508400861</v>
      </c>
      <c r="H159" s="10">
        <v>103.35980000000001</v>
      </c>
      <c r="K159" s="9">
        <f t="shared" si="34"/>
        <v>104.48713785207048</v>
      </c>
      <c r="L159" s="9">
        <v>218.6</v>
      </c>
      <c r="M159" s="9">
        <f>AVERAGE(L159:L170)</f>
        <v>226.30166666666665</v>
      </c>
      <c r="N159" s="9">
        <v>124.2</v>
      </c>
      <c r="O159" s="9">
        <f t="shared" si="35"/>
        <v>56.816102470265328</v>
      </c>
      <c r="P159" s="9">
        <v>223093.92580000003</v>
      </c>
      <c r="Q159" s="9">
        <f t="shared" si="36"/>
        <v>223.09392580000002</v>
      </c>
      <c r="R159" s="9">
        <v>112.13332495999997</v>
      </c>
      <c r="S159" s="9">
        <f t="shared" si="37"/>
        <v>335.22725076</v>
      </c>
      <c r="T159" s="9">
        <f t="shared" si="38"/>
        <v>153.35189879231476</v>
      </c>
      <c r="U159" s="9">
        <v>101.40911176</v>
      </c>
      <c r="V159" s="13">
        <f t="shared" si="39"/>
        <v>46.390261555352239</v>
      </c>
      <c r="W159" s="13">
        <v>12699023614.244963</v>
      </c>
      <c r="X159" s="15">
        <f t="shared" ref="X159:X170" si="46">($W$159/$L$159)*100</f>
        <v>5809251424.6317301</v>
      </c>
      <c r="Y159" s="15">
        <f t="shared" si="43"/>
        <v>5809.2514246317305</v>
      </c>
      <c r="Z159" s="13">
        <f t="shared" si="40"/>
        <v>2.6397876005519296</v>
      </c>
      <c r="AA159" s="13">
        <f t="shared" si="41"/>
        <v>1.7456485241801818</v>
      </c>
      <c r="AB159" s="13">
        <f t="shared" si="42"/>
        <v>0.79855833677044008</v>
      </c>
    </row>
    <row r="160" spans="2:28" x14ac:dyDescent="0.3">
      <c r="B160">
        <v>2019</v>
      </c>
      <c r="C160">
        <v>2</v>
      </c>
      <c r="D160">
        <v>108.73</v>
      </c>
      <c r="G160" s="5">
        <f t="shared" si="33"/>
        <v>102.05875911266855</v>
      </c>
      <c r="H160" s="7">
        <v>102.82510000000001</v>
      </c>
      <c r="K160" s="5">
        <f t="shared" si="34"/>
        <v>103.94660591789972</v>
      </c>
      <c r="L160">
        <v>219.2</v>
      </c>
      <c r="N160" s="5">
        <v>122.3</v>
      </c>
      <c r="O160" s="5">
        <f t="shared" si="35"/>
        <v>55.793795620437962</v>
      </c>
      <c r="P160" s="5">
        <v>220046.93581</v>
      </c>
      <c r="Q160" s="5">
        <f t="shared" si="36"/>
        <v>220.04693581000001</v>
      </c>
      <c r="R160">
        <v>102.23462911999998</v>
      </c>
      <c r="S160" s="5">
        <f t="shared" si="37"/>
        <v>322.28156493</v>
      </c>
      <c r="T160" s="5">
        <f t="shared" si="38"/>
        <v>147.02626137317517</v>
      </c>
      <c r="U160">
        <v>117.51080348000002</v>
      </c>
      <c r="V160" s="12">
        <f t="shared" si="39"/>
        <v>53.608943193430669</v>
      </c>
      <c r="W160" s="12"/>
      <c r="X160" s="17">
        <f t="shared" si="46"/>
        <v>5809251424.6317301</v>
      </c>
      <c r="Y160" s="17">
        <f t="shared" si="43"/>
        <v>5809.2514246317305</v>
      </c>
      <c r="Z160" s="12">
        <f t="shared" si="40"/>
        <v>2.5308985724007584</v>
      </c>
      <c r="AA160" s="12">
        <f t="shared" si="41"/>
        <v>2.0228217870162069</v>
      </c>
      <c r="AB160" s="12">
        <f t="shared" si="42"/>
        <v>0.92282015831031339</v>
      </c>
    </row>
    <row r="161" spans="2:28" x14ac:dyDescent="0.3">
      <c r="B161">
        <v>2019</v>
      </c>
      <c r="C161">
        <v>3</v>
      </c>
      <c r="D161">
        <v>107.25</v>
      </c>
      <c r="G161" s="5">
        <f t="shared" si="33"/>
        <v>100.66956603360345</v>
      </c>
      <c r="H161" s="7">
        <v>102.8361</v>
      </c>
      <c r="K161" s="5">
        <f t="shared" si="34"/>
        <v>103.95772589410296</v>
      </c>
      <c r="L161">
        <v>223.19</v>
      </c>
      <c r="N161" s="5">
        <v>137.30000000000001</v>
      </c>
      <c r="O161" s="5">
        <f t="shared" si="35"/>
        <v>61.5170930597249</v>
      </c>
      <c r="P161" s="5">
        <v>227770.00967</v>
      </c>
      <c r="Q161" s="5">
        <f t="shared" si="36"/>
        <v>227.77000967000001</v>
      </c>
      <c r="R161">
        <v>112.13835680000003</v>
      </c>
      <c r="S161" s="5">
        <f t="shared" si="37"/>
        <v>339.90836647000003</v>
      </c>
      <c r="T161" s="5">
        <f t="shared" si="38"/>
        <v>152.2955179309109</v>
      </c>
      <c r="U161">
        <v>144.98992472999998</v>
      </c>
      <c r="V161" s="12">
        <f t="shared" si="39"/>
        <v>64.96255420493749</v>
      </c>
      <c r="W161" s="12"/>
      <c r="X161" s="17">
        <f t="shared" si="46"/>
        <v>5809251424.6317301</v>
      </c>
      <c r="Y161" s="17">
        <f t="shared" si="43"/>
        <v>5809.2514246317305</v>
      </c>
      <c r="Z161" s="12">
        <f t="shared" si="40"/>
        <v>2.6216031429654549</v>
      </c>
      <c r="AA161" s="12">
        <f t="shared" si="41"/>
        <v>2.4958452325755798</v>
      </c>
      <c r="AB161" s="12">
        <f t="shared" si="42"/>
        <v>1.1182603309178636</v>
      </c>
    </row>
    <row r="162" spans="2:28" x14ac:dyDescent="0.3">
      <c r="B162">
        <v>2019</v>
      </c>
      <c r="C162">
        <v>4</v>
      </c>
      <c r="D162">
        <v>106.4</v>
      </c>
      <c r="G162" s="5">
        <f t="shared" si="33"/>
        <v>99.871718657113348</v>
      </c>
      <c r="H162" s="7">
        <v>102.2748</v>
      </c>
      <c r="K162" s="5">
        <f t="shared" si="34"/>
        <v>103.3903038356589</v>
      </c>
      <c r="L162">
        <v>225.34</v>
      </c>
      <c r="N162" s="5">
        <v>134.5</v>
      </c>
      <c r="O162" s="5">
        <f t="shared" si="35"/>
        <v>59.687583207597406</v>
      </c>
      <c r="P162" s="5">
        <v>216994.65978999998</v>
      </c>
      <c r="Q162" s="5">
        <f t="shared" si="36"/>
        <v>216.99465978999999</v>
      </c>
      <c r="R162">
        <v>107.36450454000001</v>
      </c>
      <c r="S162" s="5">
        <f t="shared" si="37"/>
        <v>324.35916433</v>
      </c>
      <c r="T162" s="5">
        <f t="shared" si="38"/>
        <v>143.94211606017572</v>
      </c>
      <c r="U162">
        <v>135.41069088999998</v>
      </c>
      <c r="V162" s="12">
        <f t="shared" si="39"/>
        <v>60.091724012603166</v>
      </c>
      <c r="W162" s="12"/>
      <c r="X162" s="17">
        <f t="shared" si="46"/>
        <v>5809251424.6317301</v>
      </c>
      <c r="Y162" s="17">
        <f t="shared" si="43"/>
        <v>5809.2514246317305</v>
      </c>
      <c r="Z162" s="12">
        <f t="shared" si="40"/>
        <v>2.4778083360249936</v>
      </c>
      <c r="AA162" s="12">
        <f t="shared" si="41"/>
        <v>2.3309490499214216</v>
      </c>
      <c r="AB162" s="12">
        <f t="shared" si="42"/>
        <v>1.0344142406680668</v>
      </c>
    </row>
    <row r="163" spans="2:28" x14ac:dyDescent="0.3">
      <c r="B163">
        <v>2019</v>
      </c>
      <c r="C163">
        <v>5</v>
      </c>
      <c r="D163">
        <v>106.08</v>
      </c>
      <c r="G163" s="5">
        <f t="shared" si="33"/>
        <v>99.571352585964135</v>
      </c>
      <c r="H163" s="7">
        <v>102.41759999999999</v>
      </c>
      <c r="K163" s="5">
        <f t="shared" si="34"/>
        <v>103.53466134491563</v>
      </c>
      <c r="L163">
        <v>227.06</v>
      </c>
      <c r="N163" s="5">
        <v>144</v>
      </c>
      <c r="O163" s="5">
        <f t="shared" si="35"/>
        <v>63.419360521448077</v>
      </c>
      <c r="P163" s="5">
        <v>244254.01481999992</v>
      </c>
      <c r="Q163" s="5">
        <f t="shared" si="36"/>
        <v>244.25401481999992</v>
      </c>
      <c r="R163">
        <v>90.783230219999993</v>
      </c>
      <c r="S163" s="5">
        <f t="shared" si="37"/>
        <v>335.0372450399999</v>
      </c>
      <c r="T163" s="5">
        <f t="shared" si="38"/>
        <v>147.55449882850345</v>
      </c>
      <c r="U163">
        <v>139.31564645999998</v>
      </c>
      <c r="V163" s="12">
        <f t="shared" si="39"/>
        <v>61.356313952259313</v>
      </c>
      <c r="W163" s="12"/>
      <c r="X163" s="17">
        <f t="shared" si="46"/>
        <v>5809251424.6317301</v>
      </c>
      <c r="Y163" s="17">
        <f t="shared" si="43"/>
        <v>5809.2514246317305</v>
      </c>
      <c r="Z163" s="12">
        <f t="shared" si="40"/>
        <v>2.5399916106722387</v>
      </c>
      <c r="AA163" s="12">
        <f t="shared" si="41"/>
        <v>2.3981686499105468</v>
      </c>
      <c r="AB163" s="12">
        <f t="shared" si="42"/>
        <v>1.0561827930549401</v>
      </c>
    </row>
    <row r="164" spans="2:28" x14ac:dyDescent="0.3">
      <c r="B164">
        <v>2019</v>
      </c>
      <c r="C164">
        <v>6</v>
      </c>
      <c r="D164">
        <v>106.49</v>
      </c>
      <c r="G164" s="5">
        <f t="shared" si="33"/>
        <v>99.956196614624048</v>
      </c>
      <c r="H164" s="7">
        <v>102.5425</v>
      </c>
      <c r="K164" s="5">
        <f t="shared" si="34"/>
        <v>103.66092362016893</v>
      </c>
      <c r="L164">
        <v>227.26</v>
      </c>
      <c r="N164" s="5">
        <v>134.30000000000001</v>
      </c>
      <c r="O164" s="5">
        <f t="shared" si="35"/>
        <v>59.095309337322902</v>
      </c>
      <c r="P164" s="5">
        <v>252673.82683000003</v>
      </c>
      <c r="Q164" s="5">
        <f t="shared" si="36"/>
        <v>252.67382683000002</v>
      </c>
      <c r="R164">
        <v>99.950594969999983</v>
      </c>
      <c r="S164" s="5">
        <f t="shared" si="37"/>
        <v>352.62442179999999</v>
      </c>
      <c r="T164" s="5">
        <f t="shared" si="38"/>
        <v>155.16343474434569</v>
      </c>
      <c r="U164">
        <v>132.58662832999997</v>
      </c>
      <c r="V164" s="12">
        <f t="shared" si="39"/>
        <v>58.341383582680621</v>
      </c>
      <c r="W164" s="12"/>
      <c r="X164" s="17">
        <f t="shared" si="46"/>
        <v>5809251424.6317301</v>
      </c>
      <c r="Y164" s="17">
        <f t="shared" si="43"/>
        <v>5809.2514246317305</v>
      </c>
      <c r="Z164" s="12">
        <f t="shared" si="40"/>
        <v>2.6709712388491096</v>
      </c>
      <c r="AA164" s="12">
        <f t="shared" si="41"/>
        <v>2.2823358577289521</v>
      </c>
      <c r="AB164" s="12">
        <f t="shared" si="42"/>
        <v>1.0042840173057079</v>
      </c>
    </row>
    <row r="165" spans="2:28" x14ac:dyDescent="0.3">
      <c r="B165">
        <v>2019</v>
      </c>
      <c r="C165">
        <v>7</v>
      </c>
      <c r="D165">
        <v>106.61</v>
      </c>
      <c r="G165" s="5">
        <f t="shared" si="33"/>
        <v>100.06883389130502</v>
      </c>
      <c r="H165" s="7">
        <v>102.0057</v>
      </c>
      <c r="K165" s="5">
        <f t="shared" si="34"/>
        <v>103.11826878145028</v>
      </c>
      <c r="L165">
        <v>228.05</v>
      </c>
      <c r="N165" s="5">
        <v>146.19999999999999</v>
      </c>
      <c r="O165" s="5">
        <f t="shared" si="35"/>
        <v>64.108748081561046</v>
      </c>
      <c r="P165" s="5">
        <v>282353.30168000003</v>
      </c>
      <c r="Q165" s="5">
        <f t="shared" si="36"/>
        <v>282.35330168000002</v>
      </c>
      <c r="R165">
        <v>88.385975579999993</v>
      </c>
      <c r="S165" s="5">
        <f t="shared" si="37"/>
        <v>370.73927725999999</v>
      </c>
      <c r="T165" s="5">
        <f t="shared" si="38"/>
        <v>162.56929500548125</v>
      </c>
      <c r="U165">
        <v>133.63515808</v>
      </c>
      <c r="V165" s="12">
        <f t="shared" si="39"/>
        <v>58.599060767375569</v>
      </c>
      <c r="W165" s="12"/>
      <c r="X165" s="17">
        <f t="shared" si="46"/>
        <v>5809251424.6317301</v>
      </c>
      <c r="Y165" s="17">
        <f t="shared" si="43"/>
        <v>5809.2514246317305</v>
      </c>
      <c r="Z165" s="12">
        <f t="shared" si="40"/>
        <v>2.7984551385772929</v>
      </c>
      <c r="AA165" s="12">
        <f t="shared" si="41"/>
        <v>2.300385166897327</v>
      </c>
      <c r="AB165" s="12">
        <f t="shared" si="42"/>
        <v>1.008719652224217</v>
      </c>
    </row>
    <row r="166" spans="2:28" x14ac:dyDescent="0.3">
      <c r="B166">
        <v>2019</v>
      </c>
      <c r="C166">
        <v>8</v>
      </c>
      <c r="D166">
        <v>107</v>
      </c>
      <c r="G166" s="5">
        <f t="shared" si="33"/>
        <v>100.43490504051812</v>
      </c>
      <c r="H166" s="7">
        <v>102.7814</v>
      </c>
      <c r="K166" s="5">
        <f t="shared" si="34"/>
        <v>103.90242928516498</v>
      </c>
      <c r="L166">
        <v>227.98</v>
      </c>
      <c r="N166" s="5">
        <v>145.5</v>
      </c>
      <c r="O166" s="5">
        <f t="shared" si="35"/>
        <v>63.821387841038693</v>
      </c>
      <c r="P166" s="5">
        <v>274751.43079999997</v>
      </c>
      <c r="Q166" s="5">
        <f t="shared" si="36"/>
        <v>274.75143079999998</v>
      </c>
      <c r="R166">
        <v>100.83188138</v>
      </c>
      <c r="S166" s="5">
        <f t="shared" si="37"/>
        <v>375.58331218000001</v>
      </c>
      <c r="T166" s="5">
        <f t="shared" si="38"/>
        <v>164.7439741117642</v>
      </c>
      <c r="U166">
        <v>114.5167246</v>
      </c>
      <c r="V166" s="12">
        <f t="shared" si="39"/>
        <v>50.231039828055103</v>
      </c>
      <c r="W166" s="12"/>
      <c r="X166" s="17">
        <f t="shared" si="46"/>
        <v>5809251424.6317301</v>
      </c>
      <c r="Y166" s="17">
        <f t="shared" si="43"/>
        <v>5809.2514246317305</v>
      </c>
      <c r="Z166" s="12">
        <f t="shared" si="40"/>
        <v>2.835889894750216</v>
      </c>
      <c r="AA166" s="12">
        <f t="shared" si="41"/>
        <v>1.971281947178928</v>
      </c>
      <c r="AB166" s="12">
        <f t="shared" si="42"/>
        <v>0.86467319377968621</v>
      </c>
    </row>
    <row r="167" spans="2:28" x14ac:dyDescent="0.3">
      <c r="B167">
        <v>2019</v>
      </c>
      <c r="C167">
        <v>9</v>
      </c>
      <c r="D167">
        <v>107.61</v>
      </c>
      <c r="G167" s="5">
        <f t="shared" si="33"/>
        <v>101.0074778636463</v>
      </c>
      <c r="H167" s="7">
        <v>102.4601</v>
      </c>
      <c r="K167" s="5">
        <f t="shared" si="34"/>
        <v>103.5776248893373</v>
      </c>
      <c r="L167">
        <v>227.67</v>
      </c>
      <c r="N167" s="5">
        <v>139.1</v>
      </c>
      <c r="O167" s="5">
        <f t="shared" si="35"/>
        <v>61.09720209074537</v>
      </c>
      <c r="P167" s="5">
        <v>231906.49605000002</v>
      </c>
      <c r="Q167" s="5">
        <f t="shared" si="36"/>
        <v>231.90649605000002</v>
      </c>
      <c r="R167">
        <v>103.51574770999999</v>
      </c>
      <c r="S167" s="5">
        <f t="shared" si="37"/>
        <v>335.42224376000001</v>
      </c>
      <c r="T167" s="5">
        <f t="shared" si="38"/>
        <v>147.32825746035931</v>
      </c>
      <c r="U167">
        <v>113.46747711</v>
      </c>
      <c r="V167" s="12">
        <f t="shared" si="39"/>
        <v>49.838572104361575</v>
      </c>
      <c r="W167" s="12"/>
      <c r="X167" s="17">
        <f t="shared" si="46"/>
        <v>5809251424.6317301</v>
      </c>
      <c r="Y167" s="17">
        <f t="shared" si="43"/>
        <v>5809.2514246317305</v>
      </c>
      <c r="Z167" s="12">
        <f t="shared" si="40"/>
        <v>2.5360971094429603</v>
      </c>
      <c r="AA167" s="12">
        <f t="shared" si="41"/>
        <v>1.9532202828902885</v>
      </c>
      <c r="AB167" s="12">
        <f t="shared" si="42"/>
        <v>0.85791728505744647</v>
      </c>
    </row>
    <row r="168" spans="2:28" x14ac:dyDescent="0.3">
      <c r="B168">
        <v>2019</v>
      </c>
      <c r="C168">
        <v>10</v>
      </c>
      <c r="D168">
        <v>107.99</v>
      </c>
      <c r="G168" s="5">
        <f t="shared" si="33"/>
        <v>101.36416257313599</v>
      </c>
      <c r="H168" s="7">
        <v>101.5878</v>
      </c>
      <c r="K168" s="5">
        <f t="shared" si="34"/>
        <v>102.69581077641951</v>
      </c>
      <c r="L168">
        <v>228.44</v>
      </c>
      <c r="N168" s="5">
        <v>144.6</v>
      </c>
      <c r="O168" s="5">
        <f t="shared" si="35"/>
        <v>63.29889686569777</v>
      </c>
      <c r="P168" s="5">
        <v>280871.80155999993</v>
      </c>
      <c r="Q168" s="5">
        <f t="shared" si="36"/>
        <v>280.87180155999994</v>
      </c>
      <c r="R168">
        <v>114.49948879000003</v>
      </c>
      <c r="S168" s="5">
        <f t="shared" si="37"/>
        <v>395.37129034999998</v>
      </c>
      <c r="T168" s="5">
        <f t="shared" si="38"/>
        <v>173.07445734109612</v>
      </c>
      <c r="U168">
        <v>87.273586420000001</v>
      </c>
      <c r="V168" s="12">
        <f t="shared" si="39"/>
        <v>38.20416145158466</v>
      </c>
      <c r="W168" s="12"/>
      <c r="X168" s="17">
        <f t="shared" si="46"/>
        <v>5809251424.6317301</v>
      </c>
      <c r="Y168" s="17">
        <f t="shared" si="43"/>
        <v>5809.2514246317305</v>
      </c>
      <c r="Z168" s="12">
        <f t="shared" si="40"/>
        <v>2.9792901819887736</v>
      </c>
      <c r="AA168" s="12">
        <f t="shared" si="41"/>
        <v>1.5023206957432143</v>
      </c>
      <c r="AB168" s="12">
        <f t="shared" si="42"/>
        <v>0.65764344937104458</v>
      </c>
    </row>
    <row r="169" spans="2:28" x14ac:dyDescent="0.3">
      <c r="B169">
        <v>2019</v>
      </c>
      <c r="C169">
        <v>11</v>
      </c>
      <c r="D169">
        <v>107.82</v>
      </c>
      <c r="G169" s="5">
        <f t="shared" si="33"/>
        <v>101.20459309783797</v>
      </c>
      <c r="H169" s="7">
        <v>102.1494</v>
      </c>
      <c r="K169" s="5">
        <f t="shared" si="34"/>
        <v>103.26353610694184</v>
      </c>
      <c r="L169">
        <v>230.24</v>
      </c>
      <c r="N169" s="5">
        <v>144.19999999999999</v>
      </c>
      <c r="O169" s="5">
        <f t="shared" si="35"/>
        <v>62.630298818624041</v>
      </c>
      <c r="P169" s="5">
        <v>240753.59862999996</v>
      </c>
      <c r="Q169" s="5">
        <f t="shared" si="36"/>
        <v>240.75359862999997</v>
      </c>
      <c r="R169">
        <v>102.83090591000001</v>
      </c>
      <c r="S169" s="5">
        <f t="shared" si="37"/>
        <v>343.58450454000001</v>
      </c>
      <c r="T169" s="5">
        <f t="shared" si="38"/>
        <v>149.22885013029881</v>
      </c>
      <c r="U169">
        <v>100.60850421000001</v>
      </c>
      <c r="V169" s="12">
        <f t="shared" si="39"/>
        <v>43.697230806984017</v>
      </c>
      <c r="W169" s="12"/>
      <c r="X169" s="17">
        <f t="shared" si="46"/>
        <v>5809251424.6317301</v>
      </c>
      <c r="Y169" s="17">
        <f t="shared" si="43"/>
        <v>5809.2514246317305</v>
      </c>
      <c r="Z169" s="12">
        <f t="shared" si="40"/>
        <v>2.5688137631219665</v>
      </c>
      <c r="AA169" s="12">
        <f t="shared" si="41"/>
        <v>1.7318669283861807</v>
      </c>
      <c r="AB169" s="12">
        <f t="shared" si="42"/>
        <v>0.75220071594257332</v>
      </c>
    </row>
    <row r="170" spans="2:28" x14ac:dyDescent="0.3">
      <c r="B170">
        <v>2019</v>
      </c>
      <c r="C170">
        <v>12</v>
      </c>
      <c r="D170">
        <v>107.17</v>
      </c>
      <c r="G170" s="5">
        <f t="shared" si="33"/>
        <v>100.59447451581615</v>
      </c>
      <c r="H170" s="7">
        <v>101.9421</v>
      </c>
      <c r="K170" s="5">
        <f t="shared" si="34"/>
        <v>103.05397510085693</v>
      </c>
      <c r="L170">
        <v>232.59</v>
      </c>
      <c r="N170" s="5">
        <v>166.2</v>
      </c>
      <c r="O170" s="5">
        <f t="shared" si="35"/>
        <v>71.456210499161614</v>
      </c>
      <c r="P170" s="5">
        <v>198542.89237000002</v>
      </c>
      <c r="Q170" s="5">
        <f t="shared" si="36"/>
        <v>198.54289237</v>
      </c>
      <c r="R170">
        <v>139.46812353999999</v>
      </c>
      <c r="S170" s="5">
        <f t="shared" si="37"/>
        <v>338.01101590999997</v>
      </c>
      <c r="T170" s="5">
        <f t="shared" si="38"/>
        <v>145.32482733995442</v>
      </c>
      <c r="U170">
        <v>101.90597077000001</v>
      </c>
      <c r="V170" s="12">
        <f t="shared" si="39"/>
        <v>43.813564972698742</v>
      </c>
      <c r="W170" s="12"/>
      <c r="X170" s="17">
        <f t="shared" si="46"/>
        <v>5809251424.6317301</v>
      </c>
      <c r="Y170" s="17">
        <f t="shared" si="43"/>
        <v>5809.2514246317305</v>
      </c>
      <c r="Z170" s="12">
        <f t="shared" si="40"/>
        <v>2.5016102199289314</v>
      </c>
      <c r="AA170" s="12">
        <f t="shared" si="41"/>
        <v>1.7542014163461725</v>
      </c>
      <c r="AB170" s="12">
        <f t="shared" si="42"/>
        <v>0.75420328317905849</v>
      </c>
    </row>
    <row r="171" spans="2:28" s="9" customFormat="1" x14ac:dyDescent="0.3">
      <c r="B171" s="9">
        <v>2020</v>
      </c>
      <c r="C171" s="9">
        <v>1</v>
      </c>
      <c r="D171" s="9">
        <v>107.64</v>
      </c>
      <c r="G171" s="9">
        <f t="shared" si="33"/>
        <v>101.03563718281654</v>
      </c>
      <c r="H171" s="10">
        <v>101.3372</v>
      </c>
      <c r="K171" s="9">
        <f t="shared" si="34"/>
        <v>102.44247750037088</v>
      </c>
      <c r="L171" s="9">
        <v>232.63</v>
      </c>
      <c r="M171" s="9">
        <f>AVERAGE(L171:L182)</f>
        <v>234.63416666666669</v>
      </c>
      <c r="N171" s="9">
        <v>139.19999999999999</v>
      </c>
      <c r="O171" s="9">
        <f t="shared" si="35"/>
        <v>59.837510209345311</v>
      </c>
      <c r="P171" s="9">
        <v>247102.29892</v>
      </c>
      <c r="Q171" s="9">
        <f t="shared" si="36"/>
        <v>247.10229892000001</v>
      </c>
      <c r="R171" s="9">
        <v>112.63441445999997</v>
      </c>
      <c r="S171" s="9">
        <f t="shared" si="37"/>
        <v>359.73671337999997</v>
      </c>
      <c r="T171" s="9">
        <f t="shared" si="38"/>
        <v>154.63900330137989</v>
      </c>
      <c r="U171" s="9">
        <v>132.14464746000002</v>
      </c>
      <c r="V171" s="13">
        <f t="shared" si="39"/>
        <v>56.804645772256379</v>
      </c>
      <c r="W171" s="13">
        <v>12726422432.486843</v>
      </c>
      <c r="X171" s="15">
        <f t="shared" ref="X171:X182" si="47">($W$171/$L$171)*100</f>
        <v>5470671208.565896</v>
      </c>
      <c r="Y171" s="15">
        <f t="shared" si="43"/>
        <v>5470.6712085658964</v>
      </c>
      <c r="Z171" s="13">
        <f t="shared" si="40"/>
        <v>2.8266915960741419</v>
      </c>
      <c r="AA171" s="13">
        <f t="shared" si="41"/>
        <v>2.4155106827310306</v>
      </c>
      <c r="AB171" s="13">
        <f t="shared" si="42"/>
        <v>1.0383487438125052</v>
      </c>
    </row>
    <row r="172" spans="2:28" x14ac:dyDescent="0.3">
      <c r="B172">
        <v>2020</v>
      </c>
      <c r="C172">
        <v>2</v>
      </c>
      <c r="D172">
        <v>107.83</v>
      </c>
      <c r="G172" s="5">
        <f t="shared" si="33"/>
        <v>101.21397953756139</v>
      </c>
      <c r="H172" s="7">
        <v>101.6718</v>
      </c>
      <c r="K172" s="5">
        <f t="shared" si="34"/>
        <v>102.78072695833524</v>
      </c>
      <c r="L172">
        <v>233.26</v>
      </c>
      <c r="N172" s="5">
        <v>143.80000000000001</v>
      </c>
      <c r="O172" s="5">
        <f t="shared" si="35"/>
        <v>61.647946497470642</v>
      </c>
      <c r="P172" s="5">
        <v>227727.45660999996</v>
      </c>
      <c r="Q172" s="5">
        <f t="shared" si="36"/>
        <v>227.72745660999996</v>
      </c>
      <c r="R172">
        <v>108.10851698</v>
      </c>
      <c r="S172" s="5">
        <f t="shared" si="37"/>
        <v>335.83597358999998</v>
      </c>
      <c r="T172" s="5">
        <f t="shared" si="38"/>
        <v>143.97495223784617</v>
      </c>
      <c r="U172">
        <v>139.31567536999998</v>
      </c>
      <c r="V172" s="12">
        <f t="shared" si="39"/>
        <v>59.725488883649135</v>
      </c>
      <c r="W172" s="12"/>
      <c r="X172" s="17">
        <f t="shared" si="47"/>
        <v>5470671208.565896</v>
      </c>
      <c r="Y172" s="17">
        <f t="shared" si="43"/>
        <v>5470.6712085658964</v>
      </c>
      <c r="Z172" s="12">
        <f t="shared" si="40"/>
        <v>2.6317602858752012</v>
      </c>
      <c r="AA172" s="12">
        <f t="shared" si="41"/>
        <v>2.5465920004817972</v>
      </c>
      <c r="AB172" s="12">
        <f t="shared" si="42"/>
        <v>1.0917396898232861</v>
      </c>
    </row>
    <row r="173" spans="2:28" x14ac:dyDescent="0.3">
      <c r="B173">
        <v>2020</v>
      </c>
      <c r="C173">
        <v>3</v>
      </c>
      <c r="D173">
        <v>107.68</v>
      </c>
      <c r="G173" s="5">
        <f t="shared" si="33"/>
        <v>101.0731829417102</v>
      </c>
      <c r="H173" s="7">
        <v>97.605999999999995</v>
      </c>
      <c r="K173" s="5">
        <f t="shared" si="34"/>
        <v>98.670581572228173</v>
      </c>
      <c r="L173">
        <v>233.05</v>
      </c>
      <c r="N173" s="5">
        <v>141.5</v>
      </c>
      <c r="O173" s="5">
        <f t="shared" si="35"/>
        <v>60.716584423943353</v>
      </c>
      <c r="P173" s="5">
        <v>214462.78006000002</v>
      </c>
      <c r="Q173" s="5">
        <f t="shared" si="36"/>
        <v>214.46278006000003</v>
      </c>
      <c r="R173">
        <v>135.79812179000001</v>
      </c>
      <c r="S173" s="5">
        <f t="shared" si="37"/>
        <v>350.26090185000004</v>
      </c>
      <c r="T173" s="5">
        <f t="shared" si="38"/>
        <v>150.29431531860115</v>
      </c>
      <c r="U173">
        <v>158.64176724999999</v>
      </c>
      <c r="V173" s="12">
        <f t="shared" si="39"/>
        <v>68.0719876635915</v>
      </c>
      <c r="W173" s="12"/>
      <c r="X173" s="17">
        <f t="shared" si="47"/>
        <v>5470671208.565896</v>
      </c>
      <c r="Y173" s="17">
        <f t="shared" si="43"/>
        <v>5470.6712085658964</v>
      </c>
      <c r="Z173" s="12">
        <f t="shared" si="40"/>
        <v>2.747273772974558</v>
      </c>
      <c r="AA173" s="12">
        <f t="shared" si="41"/>
        <v>2.8998592896901032</v>
      </c>
      <c r="AB173" s="12">
        <f t="shared" si="42"/>
        <v>1.244307783604421</v>
      </c>
    </row>
    <row r="174" spans="2:28" x14ac:dyDescent="0.3">
      <c r="B174">
        <v>2020</v>
      </c>
      <c r="C174">
        <v>4</v>
      </c>
      <c r="D174">
        <v>107.23</v>
      </c>
      <c r="G174" s="5">
        <f t="shared" si="33"/>
        <v>100.65079315415662</v>
      </c>
      <c r="H174" s="7">
        <v>84.681200000000004</v>
      </c>
      <c r="K174" s="5">
        <f t="shared" si="34"/>
        <v>85.604811714793854</v>
      </c>
      <c r="L174">
        <v>232.65</v>
      </c>
      <c r="N174" s="5">
        <v>122.2</v>
      </c>
      <c r="O174" s="5">
        <f t="shared" si="35"/>
        <v>52.525252525252533</v>
      </c>
      <c r="P174" s="5">
        <v>91233.132719999994</v>
      </c>
      <c r="Q174" s="5">
        <f t="shared" si="36"/>
        <v>91.23313272</v>
      </c>
      <c r="R174">
        <v>111.49890904</v>
      </c>
      <c r="S174" s="5">
        <f t="shared" si="37"/>
        <v>202.73204176000002</v>
      </c>
      <c r="T174" s="5">
        <f t="shared" si="38"/>
        <v>87.140357515581343</v>
      </c>
      <c r="U174">
        <v>163.45499146000003</v>
      </c>
      <c r="V174" s="12">
        <f t="shared" si="39"/>
        <v>70.257894459488512</v>
      </c>
      <c r="W174" s="12"/>
      <c r="X174" s="17">
        <f t="shared" si="47"/>
        <v>5470671208.565896</v>
      </c>
      <c r="Y174" s="17">
        <f t="shared" si="43"/>
        <v>5470.6712085658964</v>
      </c>
      <c r="Z174" s="12">
        <f t="shared" si="40"/>
        <v>1.5928640964410046</v>
      </c>
      <c r="AA174" s="12">
        <f t="shared" si="41"/>
        <v>2.9878416236030527</v>
      </c>
      <c r="AB174" s="12">
        <f t="shared" si="42"/>
        <v>1.28426461362693</v>
      </c>
    </row>
    <row r="175" spans="2:28" x14ac:dyDescent="0.3">
      <c r="B175">
        <v>2020</v>
      </c>
      <c r="C175">
        <v>5</v>
      </c>
      <c r="D175">
        <v>107.09</v>
      </c>
      <c r="G175" s="5">
        <f t="shared" si="33"/>
        <v>100.51938299802883</v>
      </c>
      <c r="H175" s="7">
        <v>86.010800000000003</v>
      </c>
      <c r="K175" s="5">
        <f t="shared" si="34"/>
        <v>86.948913565688628</v>
      </c>
      <c r="L175">
        <v>233.72</v>
      </c>
      <c r="N175" s="5">
        <v>159.19999999999999</v>
      </c>
      <c r="O175" s="5">
        <f t="shared" si="35"/>
        <v>68.115693992811913</v>
      </c>
      <c r="P175" s="5">
        <v>108018.55454</v>
      </c>
      <c r="Q175" s="5">
        <f t="shared" si="36"/>
        <v>108.01855454</v>
      </c>
      <c r="R175">
        <v>112.07180507</v>
      </c>
      <c r="S175" s="5">
        <f t="shared" si="37"/>
        <v>220.09035961000001</v>
      </c>
      <c r="T175" s="5">
        <f t="shared" si="38"/>
        <v>94.168389359062132</v>
      </c>
      <c r="U175">
        <v>127.9035274</v>
      </c>
      <c r="V175" s="12">
        <f t="shared" si="39"/>
        <v>54.725110131781619</v>
      </c>
      <c r="W175" s="12"/>
      <c r="X175" s="17">
        <f t="shared" si="47"/>
        <v>5470671208.565896</v>
      </c>
      <c r="Y175" s="17">
        <f t="shared" si="43"/>
        <v>5470.6712085658964</v>
      </c>
      <c r="Z175" s="12">
        <f t="shared" si="40"/>
        <v>1.7213315472444159</v>
      </c>
      <c r="AA175" s="12">
        <f t="shared" si="41"/>
        <v>2.3379860080008195</v>
      </c>
      <c r="AB175" s="12">
        <f t="shared" si="42"/>
        <v>1.0003363032692194</v>
      </c>
    </row>
    <row r="176" spans="2:28" x14ac:dyDescent="0.3">
      <c r="B176">
        <v>2020</v>
      </c>
      <c r="C176">
        <v>6</v>
      </c>
      <c r="D176">
        <v>107.29</v>
      </c>
      <c r="G176" s="5">
        <f t="shared" si="33"/>
        <v>100.7071117924971</v>
      </c>
      <c r="H176" s="7">
        <v>91.674499999999995</v>
      </c>
      <c r="K176" s="5">
        <f t="shared" si="34"/>
        <v>92.674387131357008</v>
      </c>
      <c r="L176">
        <v>235.49</v>
      </c>
      <c r="N176" s="5">
        <v>154.69999999999999</v>
      </c>
      <c r="O176" s="5">
        <f t="shared" si="35"/>
        <v>65.692810735063063</v>
      </c>
      <c r="P176" s="5">
        <v>174773.97008</v>
      </c>
      <c r="Q176" s="5">
        <f t="shared" si="36"/>
        <v>174.77397008</v>
      </c>
      <c r="R176">
        <v>83.645515490000008</v>
      </c>
      <c r="S176" s="5">
        <f t="shared" si="37"/>
        <v>258.41948557000001</v>
      </c>
      <c r="T176" s="5">
        <f t="shared" si="38"/>
        <v>109.73692537687376</v>
      </c>
      <c r="U176">
        <v>134.55221839000001</v>
      </c>
      <c r="V176" s="12">
        <f t="shared" si="39"/>
        <v>57.137126158223282</v>
      </c>
      <c r="W176" s="12"/>
      <c r="X176" s="17">
        <f t="shared" si="47"/>
        <v>5470671208.565896</v>
      </c>
      <c r="Y176" s="17">
        <f t="shared" si="43"/>
        <v>5470.6712085658964</v>
      </c>
      <c r="Z176" s="12">
        <f t="shared" si="40"/>
        <v>2.005913373208196</v>
      </c>
      <c r="AA176" s="12">
        <f t="shared" si="41"/>
        <v>2.4595193763302778</v>
      </c>
      <c r="AB176" s="12">
        <f t="shared" si="42"/>
        <v>1.0444262500871704</v>
      </c>
    </row>
    <row r="177" spans="2:28" x14ac:dyDescent="0.3">
      <c r="B177">
        <v>2020</v>
      </c>
      <c r="C177">
        <v>7</v>
      </c>
      <c r="D177">
        <v>108.21</v>
      </c>
      <c r="G177" s="5">
        <f t="shared" si="33"/>
        <v>101.57066424705107</v>
      </c>
      <c r="H177" s="7">
        <v>95.003699999999995</v>
      </c>
      <c r="K177" s="5">
        <f t="shared" si="34"/>
        <v>96.039898474617274</v>
      </c>
      <c r="L177">
        <v>235.91</v>
      </c>
      <c r="N177" s="5">
        <v>162.4</v>
      </c>
      <c r="O177" s="5">
        <f t="shared" si="35"/>
        <v>68.839811792632787</v>
      </c>
      <c r="P177" s="5">
        <v>233586.36198999998</v>
      </c>
      <c r="Q177" s="5">
        <f t="shared" si="36"/>
        <v>233.58636198999997</v>
      </c>
      <c r="R177">
        <v>97.775763019999999</v>
      </c>
      <c r="S177" s="5">
        <f t="shared" si="37"/>
        <v>331.36212501</v>
      </c>
      <c r="T177" s="5">
        <f t="shared" si="38"/>
        <v>140.46124581832055</v>
      </c>
      <c r="U177">
        <v>147.30481823000002</v>
      </c>
      <c r="V177" s="12">
        <f t="shared" si="39"/>
        <v>62.441108147174788</v>
      </c>
      <c r="W177" s="12"/>
      <c r="X177" s="17">
        <f t="shared" si="47"/>
        <v>5470671208.565896</v>
      </c>
      <c r="Y177" s="17">
        <f t="shared" si="43"/>
        <v>5470.6712085658964</v>
      </c>
      <c r="Z177" s="12">
        <f t="shared" si="40"/>
        <v>2.5675322179550544</v>
      </c>
      <c r="AA177" s="12">
        <f t="shared" si="41"/>
        <v>2.692627880822966</v>
      </c>
      <c r="AB177" s="12">
        <f t="shared" si="42"/>
        <v>1.1413792890606445</v>
      </c>
    </row>
    <row r="178" spans="2:28" x14ac:dyDescent="0.3">
      <c r="B178">
        <v>2020</v>
      </c>
      <c r="C178">
        <v>8</v>
      </c>
      <c r="D178">
        <v>109.6</v>
      </c>
      <c r="G178" s="5">
        <f t="shared" si="33"/>
        <v>102.87537936860546</v>
      </c>
      <c r="H178" s="7">
        <v>95.929400000000001</v>
      </c>
      <c r="K178" s="5">
        <f t="shared" si="34"/>
        <v>96.975695017467217</v>
      </c>
      <c r="L178">
        <v>234.53</v>
      </c>
      <c r="N178" s="5">
        <v>163</v>
      </c>
      <c r="O178" s="5">
        <f t="shared" si="35"/>
        <v>69.500703534729041</v>
      </c>
      <c r="P178" s="5">
        <v>235833.54974000002</v>
      </c>
      <c r="Q178" s="5">
        <f t="shared" si="36"/>
        <v>235.83354974000002</v>
      </c>
      <c r="R178">
        <v>95.277432229999974</v>
      </c>
      <c r="S178" s="5">
        <f t="shared" si="37"/>
        <v>331.11098197000001</v>
      </c>
      <c r="T178" s="5">
        <f t="shared" si="38"/>
        <v>141.18065150300603</v>
      </c>
      <c r="U178">
        <v>131.36854548000002</v>
      </c>
      <c r="V178" s="12">
        <f t="shared" si="39"/>
        <v>56.013535786466562</v>
      </c>
      <c r="W178" s="12"/>
      <c r="X178" s="17">
        <f t="shared" si="47"/>
        <v>5470671208.565896</v>
      </c>
      <c r="Y178" s="17">
        <f t="shared" si="43"/>
        <v>5470.6712085658964</v>
      </c>
      <c r="Z178" s="12">
        <f t="shared" si="40"/>
        <v>2.5806824449977444</v>
      </c>
      <c r="AA178" s="12">
        <f t="shared" si="41"/>
        <v>2.4013240875142539</v>
      </c>
      <c r="AB178" s="12">
        <f t="shared" si="42"/>
        <v>1.0238878128658397</v>
      </c>
    </row>
    <row r="179" spans="2:28" x14ac:dyDescent="0.3">
      <c r="B179">
        <v>2020</v>
      </c>
      <c r="C179">
        <v>9</v>
      </c>
      <c r="D179">
        <v>110.14</v>
      </c>
      <c r="G179" s="5">
        <f t="shared" si="33"/>
        <v>103.38224711366978</v>
      </c>
      <c r="H179" s="7">
        <v>95.891400000000004</v>
      </c>
      <c r="K179" s="5">
        <f t="shared" si="34"/>
        <v>96.937280554219626</v>
      </c>
      <c r="L179">
        <v>234.06</v>
      </c>
      <c r="N179" s="5">
        <v>156.69999999999999</v>
      </c>
      <c r="O179" s="5">
        <f t="shared" si="35"/>
        <v>66.948645646415443</v>
      </c>
      <c r="P179" s="5">
        <v>249381.48431999996</v>
      </c>
      <c r="Q179" s="5">
        <f t="shared" si="36"/>
        <v>249.38148431999997</v>
      </c>
      <c r="R179">
        <v>96.881865140000002</v>
      </c>
      <c r="S179" s="5">
        <f t="shared" si="37"/>
        <v>346.26334945999997</v>
      </c>
      <c r="T179" s="5">
        <f t="shared" si="38"/>
        <v>147.93785758352558</v>
      </c>
      <c r="U179">
        <v>114.16470292000001</v>
      </c>
      <c r="V179" s="12">
        <f t="shared" si="39"/>
        <v>48.775827958643085</v>
      </c>
      <c r="W179" s="12"/>
      <c r="X179" s="17">
        <f t="shared" si="47"/>
        <v>5470671208.565896</v>
      </c>
      <c r="Y179" s="17">
        <f t="shared" si="43"/>
        <v>5470.6712085658964</v>
      </c>
      <c r="Z179" s="12">
        <f t="shared" si="40"/>
        <v>2.7041993924234866</v>
      </c>
      <c r="AA179" s="12">
        <f t="shared" si="41"/>
        <v>2.0868500146973301</v>
      </c>
      <c r="AB179" s="12">
        <f t="shared" si="42"/>
        <v>0.89158763338346136</v>
      </c>
    </row>
    <row r="180" spans="2:28" x14ac:dyDescent="0.3">
      <c r="B180">
        <v>2020</v>
      </c>
      <c r="C180">
        <v>10</v>
      </c>
      <c r="D180">
        <v>110.1</v>
      </c>
      <c r="G180" s="5">
        <f t="shared" si="33"/>
        <v>103.34470135477612</v>
      </c>
      <c r="H180" s="7">
        <v>96.525599999999997</v>
      </c>
      <c r="K180" s="5">
        <f t="shared" si="34"/>
        <v>97.578397727683424</v>
      </c>
      <c r="L180">
        <v>234.58</v>
      </c>
      <c r="N180" s="5">
        <v>165.5</v>
      </c>
      <c r="O180" s="5">
        <f t="shared" si="35"/>
        <v>70.551624179384433</v>
      </c>
      <c r="P180" s="5">
        <v>261618.71590000001</v>
      </c>
      <c r="Q180" s="5">
        <f t="shared" si="36"/>
        <v>261.61871589999998</v>
      </c>
      <c r="R180">
        <v>111.26801807000004</v>
      </c>
      <c r="S180" s="5">
        <f t="shared" si="37"/>
        <v>372.88673397000002</v>
      </c>
      <c r="T180" s="5">
        <f t="shared" si="38"/>
        <v>158.95930342313923</v>
      </c>
      <c r="U180">
        <v>123.21099440999998</v>
      </c>
      <c r="V180" s="12">
        <f t="shared" si="39"/>
        <v>52.524083216813025</v>
      </c>
      <c r="W180" s="12"/>
      <c r="X180" s="17">
        <f t="shared" si="47"/>
        <v>5470671208.565896</v>
      </c>
      <c r="Y180" s="17">
        <f t="shared" si="43"/>
        <v>5470.6712085658964</v>
      </c>
      <c r="Z180" s="12">
        <f t="shared" si="40"/>
        <v>2.9056636263251043</v>
      </c>
      <c r="AA180" s="12">
        <f t="shared" si="41"/>
        <v>2.2522098242182422</v>
      </c>
      <c r="AB180" s="12">
        <f t="shared" si="42"/>
        <v>0.96010308816533496</v>
      </c>
    </row>
    <row r="181" spans="2:28" x14ac:dyDescent="0.3">
      <c r="B181">
        <v>2020</v>
      </c>
      <c r="C181">
        <v>11</v>
      </c>
      <c r="D181">
        <v>109.65</v>
      </c>
      <c r="G181" s="5">
        <f t="shared" si="33"/>
        <v>102.92231156722255</v>
      </c>
      <c r="H181" s="7">
        <v>96.9529</v>
      </c>
      <c r="K181" s="5">
        <f t="shared" si="34"/>
        <v>98.010358257833346</v>
      </c>
      <c r="L181">
        <v>236.33</v>
      </c>
      <c r="N181" s="5">
        <v>152.30000000000001</v>
      </c>
      <c r="O181" s="5">
        <f t="shared" si="35"/>
        <v>64.4437862311175</v>
      </c>
      <c r="P181" s="5">
        <v>212431.00935000001</v>
      </c>
      <c r="Q181" s="5">
        <f t="shared" si="36"/>
        <v>212.43100935000001</v>
      </c>
      <c r="R181">
        <v>93.613378529999977</v>
      </c>
      <c r="S181" s="5">
        <f t="shared" si="37"/>
        <v>306.04438787999999</v>
      </c>
      <c r="T181" s="5">
        <f t="shared" si="38"/>
        <v>129.49874661701855</v>
      </c>
      <c r="U181">
        <v>95.692127580000005</v>
      </c>
      <c r="V181" s="12">
        <f t="shared" si="39"/>
        <v>40.490893064782298</v>
      </c>
      <c r="W181" s="12"/>
      <c r="X181" s="17">
        <f t="shared" si="47"/>
        <v>5470671208.565896</v>
      </c>
      <c r="Y181" s="17">
        <f t="shared" si="43"/>
        <v>5470.6712085658964</v>
      </c>
      <c r="Z181" s="12">
        <f t="shared" si="40"/>
        <v>2.3671454869057258</v>
      </c>
      <c r="AA181" s="12">
        <f t="shared" si="41"/>
        <v>1.7491844041032236</v>
      </c>
      <c r="AB181" s="12">
        <f t="shared" si="42"/>
        <v>0.7401448838925333</v>
      </c>
    </row>
    <row r="182" spans="2:28" x14ac:dyDescent="0.3">
      <c r="B182">
        <v>2020</v>
      </c>
      <c r="C182">
        <v>12</v>
      </c>
      <c r="D182">
        <v>108.88</v>
      </c>
      <c r="G182" s="5">
        <f t="shared" si="33"/>
        <v>102.19955570851974</v>
      </c>
      <c r="H182" s="7">
        <v>98.203900000000004</v>
      </c>
      <c r="K182" s="5">
        <f t="shared" si="34"/>
        <v>99.275002824221247</v>
      </c>
      <c r="L182">
        <v>239.4</v>
      </c>
      <c r="N182" s="5">
        <v>190.9</v>
      </c>
      <c r="O182" s="5">
        <f t="shared" si="35"/>
        <v>79.741019214703428</v>
      </c>
      <c r="P182" s="5">
        <v>198110.00972</v>
      </c>
      <c r="Q182" s="5">
        <f t="shared" si="36"/>
        <v>198.11000971999999</v>
      </c>
      <c r="R182">
        <v>103.15086897999998</v>
      </c>
      <c r="S182" s="5">
        <f t="shared" si="37"/>
        <v>301.26087869999998</v>
      </c>
      <c r="T182" s="5">
        <f t="shared" si="38"/>
        <v>125.83996604010024</v>
      </c>
      <c r="U182">
        <v>122.51599200000001</v>
      </c>
      <c r="V182" s="12">
        <f t="shared" si="39"/>
        <v>51.176270676691736</v>
      </c>
      <c r="W182" s="12"/>
      <c r="X182" s="17">
        <f t="shared" si="47"/>
        <v>5470671208.565896</v>
      </c>
      <c r="Y182" s="17">
        <f t="shared" si="43"/>
        <v>5470.6712085658964</v>
      </c>
      <c r="Z182" s="12">
        <f t="shared" si="40"/>
        <v>2.3002655660069991</v>
      </c>
      <c r="AA182" s="12">
        <f t="shared" si="41"/>
        <v>2.2395056717750879</v>
      </c>
      <c r="AB182" s="12">
        <f t="shared" si="42"/>
        <v>0.93546602831039616</v>
      </c>
    </row>
    <row r="183" spans="2:28" s="9" customFormat="1" x14ac:dyDescent="0.3">
      <c r="B183" s="9">
        <v>2021</v>
      </c>
      <c r="C183" s="9">
        <v>1</v>
      </c>
      <c r="D183" s="9">
        <v>109.08</v>
      </c>
      <c r="G183" s="9">
        <f t="shared" si="33"/>
        <v>102.387284502988</v>
      </c>
      <c r="H183" s="10">
        <v>98.813500000000005</v>
      </c>
      <c r="K183" s="9">
        <f t="shared" si="34"/>
        <v>99.891251687266859</v>
      </c>
      <c r="L183" s="9">
        <v>240.03</v>
      </c>
      <c r="M183" s="9">
        <f>AVERAGE(L183:L194)</f>
        <v>246.19749999999996</v>
      </c>
      <c r="N183" s="9">
        <v>156.1</v>
      </c>
      <c r="O183" s="9">
        <f t="shared" si="35"/>
        <v>65.033537474482344</v>
      </c>
      <c r="P183" s="9">
        <v>231319.92335</v>
      </c>
      <c r="Q183" s="9">
        <f t="shared" si="36"/>
        <v>231.31992335000001</v>
      </c>
      <c r="R183" s="9">
        <v>116.23083361999998</v>
      </c>
      <c r="S183" s="9">
        <f t="shared" si="37"/>
        <v>347.55075697000001</v>
      </c>
      <c r="T183" s="9">
        <f t="shared" si="38"/>
        <v>144.79471606465859</v>
      </c>
      <c r="U183" s="9">
        <v>136.39606466999999</v>
      </c>
      <c r="V183" s="13">
        <f t="shared" si="39"/>
        <v>56.824590538682664</v>
      </c>
      <c r="W183" s="13">
        <v>14209020361.850782</v>
      </c>
      <c r="X183" s="15">
        <f t="shared" ref="X183:X194" si="48">($W$183/$L$183)*100</f>
        <v>5919685190.1223946</v>
      </c>
      <c r="Y183" s="15">
        <f t="shared" si="43"/>
        <v>5919.6851901223945</v>
      </c>
      <c r="Z183" s="13">
        <f t="shared" si="40"/>
        <v>2.4459867613612887</v>
      </c>
      <c r="AA183" s="13">
        <f t="shared" si="41"/>
        <v>2.3041101053412585</v>
      </c>
      <c r="AB183" s="13">
        <f t="shared" si="42"/>
        <v>0.95992588648971322</v>
      </c>
    </row>
    <row r="184" spans="2:28" x14ac:dyDescent="0.3">
      <c r="B184">
        <v>2021</v>
      </c>
      <c r="C184">
        <v>2</v>
      </c>
      <c r="D184">
        <v>108.69</v>
      </c>
      <c r="G184" s="5">
        <f t="shared" si="33"/>
        <v>102.0212133537749</v>
      </c>
      <c r="H184" s="7">
        <v>95.507199999999997</v>
      </c>
      <c r="K184" s="5">
        <f t="shared" si="34"/>
        <v>96.548890112647896</v>
      </c>
      <c r="L184">
        <v>242.06</v>
      </c>
      <c r="N184" s="5">
        <v>153.6</v>
      </c>
      <c r="O184" s="5">
        <f t="shared" si="35"/>
        <v>63.455341650830363</v>
      </c>
      <c r="P184" s="5">
        <v>234066.66409000001</v>
      </c>
      <c r="Q184" s="5">
        <f t="shared" si="36"/>
        <v>234.06666409000002</v>
      </c>
      <c r="R184">
        <v>132.76055663</v>
      </c>
      <c r="S184" s="5">
        <f t="shared" si="37"/>
        <v>366.82722072000001</v>
      </c>
      <c r="T184" s="5">
        <f t="shared" si="38"/>
        <v>151.54392329174587</v>
      </c>
      <c r="U184">
        <v>157.51314479000001</v>
      </c>
      <c r="V184" s="12">
        <f t="shared" si="39"/>
        <v>65.07194281996199</v>
      </c>
      <c r="W184" s="12"/>
      <c r="X184" s="17">
        <f t="shared" si="48"/>
        <v>5919685190.1223946</v>
      </c>
      <c r="Y184" s="17">
        <f t="shared" si="43"/>
        <v>5919.6851901223945</v>
      </c>
      <c r="Z184" s="12">
        <f t="shared" si="40"/>
        <v>2.5599997031026676</v>
      </c>
      <c r="AA184" s="12">
        <f t="shared" si="41"/>
        <v>2.6608365095634974</v>
      </c>
      <c r="AB184" s="12">
        <f t="shared" si="42"/>
        <v>1.0992466783291321</v>
      </c>
    </row>
    <row r="185" spans="2:28" x14ac:dyDescent="0.3">
      <c r="B185">
        <v>2021</v>
      </c>
      <c r="C185">
        <v>3</v>
      </c>
      <c r="D185">
        <v>109.03</v>
      </c>
      <c r="G185" s="5">
        <f t="shared" si="33"/>
        <v>102.34035230437094</v>
      </c>
      <c r="H185" s="7">
        <v>98.192899999999995</v>
      </c>
      <c r="K185" s="5">
        <f t="shared" si="34"/>
        <v>99.263882848017985</v>
      </c>
      <c r="L185">
        <v>242.63</v>
      </c>
      <c r="N185" s="5">
        <v>190.7</v>
      </c>
      <c r="O185" s="5">
        <f t="shared" si="35"/>
        <v>78.597040761653545</v>
      </c>
      <c r="P185" s="5">
        <v>302200.76721000002</v>
      </c>
      <c r="Q185" s="5">
        <f t="shared" si="36"/>
        <v>302.20076721000004</v>
      </c>
      <c r="R185">
        <v>155.13516589</v>
      </c>
      <c r="S185" s="5">
        <f t="shared" si="37"/>
        <v>457.33593310000003</v>
      </c>
      <c r="T185" s="5">
        <f t="shared" si="38"/>
        <v>188.49109059061124</v>
      </c>
      <c r="U185">
        <v>195.90145647000003</v>
      </c>
      <c r="V185" s="12">
        <f t="shared" si="39"/>
        <v>80.740822021184528</v>
      </c>
      <c r="W185" s="12"/>
      <c r="X185" s="17">
        <f t="shared" si="48"/>
        <v>5919685190.1223946</v>
      </c>
      <c r="Y185" s="17">
        <f t="shared" si="43"/>
        <v>5919.6851901223945</v>
      </c>
      <c r="Z185" s="12">
        <f t="shared" si="40"/>
        <v>3.1841404489740106</v>
      </c>
      <c r="AA185" s="12">
        <f t="shared" si="41"/>
        <v>3.3093222051213433</v>
      </c>
      <c r="AB185" s="12">
        <f t="shared" si="42"/>
        <v>1.3639377674324458</v>
      </c>
    </row>
    <row r="186" spans="2:28" x14ac:dyDescent="0.3">
      <c r="B186">
        <v>2021</v>
      </c>
      <c r="C186">
        <v>4</v>
      </c>
      <c r="D186">
        <v>109.86</v>
      </c>
      <c r="G186" s="5">
        <f t="shared" si="33"/>
        <v>103.11942680141421</v>
      </c>
      <c r="H186" s="7">
        <v>98.331699999999998</v>
      </c>
      <c r="K186" s="5">
        <f t="shared" si="34"/>
        <v>99.404196729564461</v>
      </c>
      <c r="L186">
        <v>242.89</v>
      </c>
      <c r="N186" s="5">
        <v>170.8</v>
      </c>
      <c r="O186" s="5">
        <f t="shared" si="35"/>
        <v>70.319897896166992</v>
      </c>
      <c r="P186" s="5">
        <v>257587.82839999997</v>
      </c>
      <c r="Q186" s="5">
        <f t="shared" si="36"/>
        <v>257.58782839999998</v>
      </c>
      <c r="R186">
        <v>128.08982734</v>
      </c>
      <c r="S186" s="5">
        <f t="shared" si="37"/>
        <v>385.67765573999998</v>
      </c>
      <c r="T186" s="5">
        <f t="shared" si="38"/>
        <v>158.78696353905059</v>
      </c>
      <c r="U186">
        <v>174.66113601000001</v>
      </c>
      <c r="V186" s="12">
        <f t="shared" si="39"/>
        <v>71.909562357445765</v>
      </c>
      <c r="W186" s="12"/>
      <c r="X186" s="17">
        <f t="shared" si="48"/>
        <v>5919685190.1223946</v>
      </c>
      <c r="Y186" s="17">
        <f t="shared" si="43"/>
        <v>5919.6851901223945</v>
      </c>
      <c r="Z186" s="12">
        <f t="shared" si="40"/>
        <v>2.6823548624511826</v>
      </c>
      <c r="AA186" s="12">
        <f t="shared" si="41"/>
        <v>2.9505139276906167</v>
      </c>
      <c r="AB186" s="12">
        <f t="shared" si="42"/>
        <v>1.2147531506816323</v>
      </c>
    </row>
    <row r="187" spans="2:28" x14ac:dyDescent="0.3">
      <c r="B187">
        <v>2021</v>
      </c>
      <c r="C187">
        <v>5</v>
      </c>
      <c r="D187">
        <v>110.66</v>
      </c>
      <c r="G187" s="5">
        <f t="shared" si="33"/>
        <v>103.87034197928723</v>
      </c>
      <c r="H187" s="7">
        <v>99.186700000000002</v>
      </c>
      <c r="K187" s="5">
        <f t="shared" si="34"/>
        <v>100.26852215263534</v>
      </c>
      <c r="L187">
        <v>243.01</v>
      </c>
      <c r="N187" s="5">
        <v>187.1</v>
      </c>
      <c r="O187" s="5">
        <f t="shared" si="35"/>
        <v>76.992716349121437</v>
      </c>
      <c r="P187" s="5">
        <v>258035.82115</v>
      </c>
      <c r="Q187" s="5">
        <f t="shared" si="36"/>
        <v>258.03582115</v>
      </c>
      <c r="R187">
        <v>120.34503593000001</v>
      </c>
      <c r="S187" s="5">
        <f t="shared" si="37"/>
        <v>378.38085708</v>
      </c>
      <c r="T187" s="5">
        <f t="shared" si="38"/>
        <v>155.70587921484713</v>
      </c>
      <c r="U187">
        <v>190.99113928</v>
      </c>
      <c r="V187" s="12">
        <f t="shared" si="39"/>
        <v>78.59394233982141</v>
      </c>
      <c r="W187" s="12"/>
      <c r="X187" s="17">
        <f t="shared" si="48"/>
        <v>5919685190.1223946</v>
      </c>
      <c r="Y187" s="17">
        <f t="shared" si="43"/>
        <v>5919.6851901223945</v>
      </c>
      <c r="Z187" s="12">
        <f t="shared" si="40"/>
        <v>2.630306751356617</v>
      </c>
      <c r="AA187" s="12">
        <f t="shared" si="41"/>
        <v>3.2263732469876674</v>
      </c>
      <c r="AB187" s="12">
        <f t="shared" si="42"/>
        <v>1.3276709793784898</v>
      </c>
    </row>
    <row r="188" spans="2:28" x14ac:dyDescent="0.3">
      <c r="B188">
        <v>2021</v>
      </c>
      <c r="C188">
        <v>6</v>
      </c>
      <c r="D188">
        <v>110.94</v>
      </c>
      <c r="G188" s="5">
        <f t="shared" si="33"/>
        <v>104.1331622915428</v>
      </c>
      <c r="H188" s="7">
        <v>99.648300000000006</v>
      </c>
      <c r="K188" s="5">
        <f t="shared" si="34"/>
        <v>100.73515679040085</v>
      </c>
      <c r="L188">
        <v>244.77</v>
      </c>
      <c r="N188" s="5">
        <v>171.9</v>
      </c>
      <c r="O188" s="5">
        <f t="shared" si="35"/>
        <v>70.229194754259098</v>
      </c>
      <c r="P188" s="5">
        <v>291241.11819000001</v>
      </c>
      <c r="Q188" s="5">
        <f t="shared" si="36"/>
        <v>291.24111819000001</v>
      </c>
      <c r="R188">
        <v>126.00855588</v>
      </c>
      <c r="S188" s="5">
        <f t="shared" si="37"/>
        <v>417.24967407000003</v>
      </c>
      <c r="T188" s="5">
        <f t="shared" si="38"/>
        <v>170.46601874004168</v>
      </c>
      <c r="U188">
        <v>190.5171848</v>
      </c>
      <c r="V188" s="12">
        <f t="shared" si="39"/>
        <v>77.835186011357592</v>
      </c>
      <c r="W188" s="12"/>
      <c r="X188" s="17">
        <f t="shared" si="48"/>
        <v>5919685190.1223946</v>
      </c>
      <c r="Y188" s="17">
        <f t="shared" si="43"/>
        <v>5919.6851901223945</v>
      </c>
      <c r="Z188" s="12">
        <f t="shared" si="40"/>
        <v>2.8796466917612751</v>
      </c>
      <c r="AA188" s="12">
        <f t="shared" si="41"/>
        <v>3.2183668333900184</v>
      </c>
      <c r="AB188" s="12">
        <f t="shared" si="42"/>
        <v>1.3148534679045709</v>
      </c>
    </row>
    <row r="189" spans="2:28" x14ac:dyDescent="0.3">
      <c r="B189">
        <v>2021</v>
      </c>
      <c r="C189">
        <v>7</v>
      </c>
      <c r="D189">
        <v>111.26</v>
      </c>
      <c r="G189" s="5">
        <f t="shared" si="33"/>
        <v>104.43352836269202</v>
      </c>
      <c r="H189" s="7">
        <v>100.0668</v>
      </c>
      <c r="K189" s="5">
        <f t="shared" si="34"/>
        <v>101.15822133958817</v>
      </c>
      <c r="L189">
        <v>245.62</v>
      </c>
      <c r="N189" s="5">
        <v>176.6</v>
      </c>
      <c r="O189" s="5">
        <f t="shared" si="35"/>
        <v>71.899682436283683</v>
      </c>
      <c r="P189" s="5">
        <v>308908.53539999994</v>
      </c>
      <c r="Q189" s="5">
        <f t="shared" si="36"/>
        <v>308.90853539999995</v>
      </c>
      <c r="R189">
        <v>155.99161296</v>
      </c>
      <c r="S189" s="5">
        <f t="shared" si="37"/>
        <v>464.90014835999995</v>
      </c>
      <c r="T189" s="5">
        <f t="shared" si="38"/>
        <v>189.27617798224898</v>
      </c>
      <c r="U189">
        <v>156.70981671000001</v>
      </c>
      <c r="V189" s="12">
        <f t="shared" si="39"/>
        <v>63.801733046983145</v>
      </c>
      <c r="W189" s="12"/>
      <c r="X189" s="17">
        <f t="shared" si="48"/>
        <v>5919685190.1223946</v>
      </c>
      <c r="Y189" s="17">
        <f t="shared" si="43"/>
        <v>5919.6851901223945</v>
      </c>
      <c r="Z189" s="12">
        <f t="shared" si="40"/>
        <v>3.1974027655740174</v>
      </c>
      <c r="AA189" s="12">
        <f t="shared" si="41"/>
        <v>2.6472660568417812</v>
      </c>
      <c r="AB189" s="12">
        <f t="shared" si="42"/>
        <v>1.0777892911170837</v>
      </c>
    </row>
    <row r="190" spans="2:28" x14ac:dyDescent="0.3">
      <c r="B190">
        <v>2021</v>
      </c>
      <c r="C190">
        <v>8</v>
      </c>
      <c r="D190">
        <v>111.55</v>
      </c>
      <c r="G190" s="5">
        <f t="shared" si="33"/>
        <v>104.70573511467099</v>
      </c>
      <c r="H190" s="7">
        <v>100.0412</v>
      </c>
      <c r="K190" s="5">
        <f t="shared" si="34"/>
        <v>101.13234212224242</v>
      </c>
      <c r="L190">
        <v>246.21</v>
      </c>
      <c r="N190" s="5">
        <v>174.8</v>
      </c>
      <c r="O190" s="5">
        <f t="shared" si="35"/>
        <v>70.996303968157264</v>
      </c>
      <c r="P190" s="5">
        <v>301399.24257999996</v>
      </c>
      <c r="Q190" s="5">
        <f t="shared" si="36"/>
        <v>301.39924257999996</v>
      </c>
      <c r="R190">
        <v>133.01845686000004</v>
      </c>
      <c r="S190" s="5">
        <f t="shared" si="37"/>
        <v>434.41769943999998</v>
      </c>
      <c r="T190" s="5">
        <f t="shared" si="38"/>
        <v>176.44193958003328</v>
      </c>
      <c r="U190">
        <v>143.92413343000001</v>
      </c>
      <c r="V190" s="12">
        <f t="shared" si="39"/>
        <v>58.45584396653264</v>
      </c>
      <c r="W190" s="12"/>
      <c r="X190" s="17">
        <f t="shared" si="48"/>
        <v>5919685190.1223946</v>
      </c>
      <c r="Y190" s="17">
        <f t="shared" si="43"/>
        <v>5919.6851901223945</v>
      </c>
      <c r="Z190" s="12">
        <f t="shared" si="40"/>
        <v>2.9805966687965917</v>
      </c>
      <c r="AA190" s="12">
        <f t="shared" si="41"/>
        <v>2.4312801915573532</v>
      </c>
      <c r="AB190" s="12">
        <f t="shared" si="42"/>
        <v>0.98748230841856666</v>
      </c>
    </row>
    <row r="191" spans="2:28" x14ac:dyDescent="0.3">
      <c r="B191">
        <v>2021</v>
      </c>
      <c r="C191">
        <v>9</v>
      </c>
      <c r="D191">
        <v>111.56</v>
      </c>
      <c r="G191" s="5">
        <f t="shared" si="33"/>
        <v>104.7151215543944</v>
      </c>
      <c r="H191" s="7">
        <v>98.995500000000007</v>
      </c>
      <c r="K191" s="5">
        <f t="shared" si="34"/>
        <v>100.07523674808429</v>
      </c>
      <c r="L191">
        <v>247.77</v>
      </c>
      <c r="N191" s="5">
        <v>175.7</v>
      </c>
      <c r="O191" s="5">
        <f t="shared" si="35"/>
        <v>70.912539855511142</v>
      </c>
      <c r="P191" s="5">
        <v>278371.74443000002</v>
      </c>
      <c r="Q191" s="5">
        <f t="shared" si="36"/>
        <v>278.37174443000004</v>
      </c>
      <c r="R191">
        <v>123.54201837999999</v>
      </c>
      <c r="S191" s="5">
        <f t="shared" si="37"/>
        <v>401.91376281000004</v>
      </c>
      <c r="T191" s="5">
        <f t="shared" si="38"/>
        <v>162.21244008959923</v>
      </c>
      <c r="U191">
        <v>131.6349276</v>
      </c>
      <c r="V191" s="12">
        <f t="shared" si="39"/>
        <v>53.127871655164057</v>
      </c>
      <c r="W191" s="12"/>
      <c r="X191" s="17">
        <f t="shared" si="48"/>
        <v>5919685190.1223946</v>
      </c>
      <c r="Y191" s="17">
        <f t="shared" si="43"/>
        <v>5919.6851901223945</v>
      </c>
      <c r="Z191" s="12">
        <f t="shared" si="40"/>
        <v>2.7402207191738408</v>
      </c>
      <c r="AA191" s="12">
        <f t="shared" si="41"/>
        <v>2.2236812156775914</v>
      </c>
      <c r="AB191" s="12">
        <f t="shared" si="42"/>
        <v>0.897477989941313</v>
      </c>
    </row>
    <row r="192" spans="2:28" x14ac:dyDescent="0.3">
      <c r="B192">
        <v>2021</v>
      </c>
      <c r="C192">
        <v>10</v>
      </c>
      <c r="D192">
        <v>112.05</v>
      </c>
      <c r="G192" s="5">
        <f t="shared" si="33"/>
        <v>105.17505710084163</v>
      </c>
      <c r="H192" s="7">
        <v>100.35420000000001</v>
      </c>
      <c r="K192" s="5">
        <f t="shared" si="34"/>
        <v>101.44875599057129</v>
      </c>
      <c r="L192">
        <v>249.62</v>
      </c>
      <c r="N192" s="5">
        <v>189.3</v>
      </c>
      <c r="O192" s="5">
        <f t="shared" si="35"/>
        <v>75.835269609806915</v>
      </c>
      <c r="P192" s="5">
        <v>314652.25110999995</v>
      </c>
      <c r="Q192" s="5">
        <f t="shared" si="36"/>
        <v>314.65225110999995</v>
      </c>
      <c r="R192">
        <v>138.57242969999999</v>
      </c>
      <c r="S192" s="5">
        <f t="shared" si="37"/>
        <v>453.22468080999994</v>
      </c>
      <c r="T192" s="5">
        <f t="shared" si="38"/>
        <v>181.5658524196779</v>
      </c>
      <c r="U192">
        <v>127.92183248000002</v>
      </c>
      <c r="V192" s="12">
        <f t="shared" si="39"/>
        <v>51.246627866356867</v>
      </c>
      <c r="W192" s="12"/>
      <c r="X192" s="17">
        <f t="shared" si="48"/>
        <v>5919685190.1223946</v>
      </c>
      <c r="Y192" s="17">
        <f t="shared" si="43"/>
        <v>5919.6851901223945</v>
      </c>
      <c r="Z192" s="12">
        <f t="shared" si="40"/>
        <v>3.067153853428545</v>
      </c>
      <c r="AA192" s="12">
        <f t="shared" si="41"/>
        <v>2.1609566788019539</v>
      </c>
      <c r="AB192" s="12">
        <f t="shared" si="42"/>
        <v>0.86569853329138435</v>
      </c>
    </row>
    <row r="193" spans="2:28" x14ac:dyDescent="0.3">
      <c r="B193">
        <v>2021</v>
      </c>
      <c r="C193">
        <v>11</v>
      </c>
      <c r="D193">
        <v>111.6</v>
      </c>
      <c r="G193" s="5">
        <f t="shared" si="33"/>
        <v>104.75266731328806</v>
      </c>
      <c r="H193" s="7">
        <v>101.2684</v>
      </c>
      <c r="K193" s="5">
        <f t="shared" si="34"/>
        <v>102.37292710375419</v>
      </c>
      <c r="L193">
        <v>253.1</v>
      </c>
      <c r="N193" s="5">
        <v>186.6</v>
      </c>
      <c r="O193" s="5">
        <f t="shared" si="35"/>
        <v>73.725800079020161</v>
      </c>
      <c r="P193" s="5">
        <v>291214.01519999997</v>
      </c>
      <c r="Q193" s="5">
        <f t="shared" si="36"/>
        <v>291.21401519999995</v>
      </c>
      <c r="R193">
        <v>148.52923789999994</v>
      </c>
      <c r="S193" s="5">
        <f t="shared" si="37"/>
        <v>439.74325309999989</v>
      </c>
      <c r="T193" s="5">
        <f t="shared" si="38"/>
        <v>173.74288941129984</v>
      </c>
      <c r="U193">
        <v>129.35657526</v>
      </c>
      <c r="V193" s="12">
        <f t="shared" si="39"/>
        <v>51.108879992097989</v>
      </c>
      <c r="W193" s="12"/>
      <c r="X193" s="17">
        <f t="shared" si="48"/>
        <v>5919685190.1223946</v>
      </c>
      <c r="Y193" s="17">
        <f t="shared" si="43"/>
        <v>5919.6851901223945</v>
      </c>
      <c r="Z193" s="12">
        <f t="shared" si="40"/>
        <v>2.9350021805417588</v>
      </c>
      <c r="AA193" s="12">
        <f t="shared" si="41"/>
        <v>2.1851934875835086</v>
      </c>
      <c r="AB193" s="12">
        <f t="shared" si="42"/>
        <v>0.86337158735026021</v>
      </c>
    </row>
    <row r="194" spans="2:28" x14ac:dyDescent="0.3">
      <c r="B194">
        <v>2021</v>
      </c>
      <c r="C194">
        <v>12</v>
      </c>
      <c r="D194">
        <v>111.01</v>
      </c>
      <c r="G194" s="5">
        <f t="shared" si="33"/>
        <v>104.1988673696067</v>
      </c>
      <c r="H194" s="7">
        <v>101.1948</v>
      </c>
      <c r="K194" s="5">
        <f t="shared" si="34"/>
        <v>102.29852435388517</v>
      </c>
      <c r="L194">
        <v>256.66000000000003</v>
      </c>
      <c r="N194" s="5">
        <v>213.7</v>
      </c>
      <c r="O194" s="5">
        <f t="shared" si="35"/>
        <v>83.261902906568992</v>
      </c>
      <c r="P194" s="5">
        <v>285544.65508</v>
      </c>
      <c r="Q194" s="5">
        <f t="shared" si="36"/>
        <v>285.54465507999998</v>
      </c>
      <c r="R194">
        <v>155.38447278000001</v>
      </c>
      <c r="S194" s="5">
        <f t="shared" si="37"/>
        <v>440.92912785999999</v>
      </c>
      <c r="T194" s="5">
        <f t="shared" si="38"/>
        <v>171.79503150471439</v>
      </c>
      <c r="U194">
        <v>141.49451519999997</v>
      </c>
      <c r="V194" s="12">
        <f t="shared" si="39"/>
        <v>55.129165121171965</v>
      </c>
      <c r="W194" s="12"/>
      <c r="X194" s="17">
        <f t="shared" si="48"/>
        <v>5919685190.1223946</v>
      </c>
      <c r="Y194" s="17">
        <f t="shared" si="43"/>
        <v>5919.6851901223945</v>
      </c>
      <c r="Z194" s="12">
        <f t="shared" si="40"/>
        <v>2.9020974255754699</v>
      </c>
      <c r="AA194" s="12">
        <f t="shared" si="41"/>
        <v>2.3902371605182342</v>
      </c>
      <c r="AB194" s="12">
        <f t="shared" si="42"/>
        <v>0.93128542060244468</v>
      </c>
    </row>
    <row r="195" spans="2:28" s="9" customFormat="1" x14ac:dyDescent="0.3">
      <c r="B195" s="9">
        <v>2022</v>
      </c>
      <c r="C195" s="9">
        <v>1</v>
      </c>
      <c r="D195" s="9">
        <v>111.17</v>
      </c>
      <c r="G195" s="9">
        <f t="shared" ref="G195:G218" si="49">$F$3*D195</f>
        <v>104.3490504051813</v>
      </c>
      <c r="H195" s="10">
        <v>101.2146</v>
      </c>
      <c r="K195" s="9">
        <f t="shared" ref="K195:K218" si="50">$J$3*H195</f>
        <v>102.31854031105102</v>
      </c>
      <c r="L195" s="9">
        <v>258.47000000000003</v>
      </c>
      <c r="M195" s="9">
        <f>AVERAGE(L195:L206)</f>
        <v>271.96749999999997</v>
      </c>
      <c r="N195" s="9">
        <v>194.7</v>
      </c>
      <c r="O195" s="9">
        <f t="shared" ref="O195:O218" si="51">(N195/L195)*100</f>
        <v>75.327891051185816</v>
      </c>
      <c r="P195" s="9">
        <v>314293.78363999998</v>
      </c>
      <c r="Q195" s="9">
        <f t="shared" ref="Q195:Q218" si="52">P195/1000</f>
        <v>314.29378363999996</v>
      </c>
      <c r="R195" s="9">
        <v>142.35653569999999</v>
      </c>
      <c r="S195" s="9">
        <f t="shared" ref="S195:S218" si="53">Q195+R195</f>
        <v>456.65031933999995</v>
      </c>
      <c r="T195" s="9">
        <f t="shared" ref="T195:T218" si="54">(S195/L195)*100</f>
        <v>176.67439909467245</v>
      </c>
      <c r="U195" s="9">
        <v>184.43755744000009</v>
      </c>
      <c r="V195" s="13">
        <f t="shared" ref="V195:V218" si="55">(U195/L195)*100</f>
        <v>71.357433141176955</v>
      </c>
      <c r="W195" s="13">
        <v>15634572502.229374</v>
      </c>
      <c r="X195" s="15">
        <f t="shared" ref="X195:X206" si="56">($W$195/$L$195)*100</f>
        <v>6048892522.2383146</v>
      </c>
      <c r="Y195" s="15">
        <f t="shared" si="43"/>
        <v>6048.892522238315</v>
      </c>
      <c r="Z195" s="13">
        <f t="shared" ref="Z195:Z218" si="57">(T195/Y195)*100</f>
        <v>2.9207726611961085</v>
      </c>
      <c r="AA195" s="13">
        <f t="shared" ref="AA195:AA218" si="58">(U195/Y195)*100</f>
        <v>3.0491128212632108</v>
      </c>
      <c r="AB195" s="13">
        <f t="shared" ref="AB195:AB218" si="59">(V195/Y195)*100</f>
        <v>1.1796776497323522</v>
      </c>
    </row>
    <row r="196" spans="2:28" x14ac:dyDescent="0.3">
      <c r="B196">
        <v>2022</v>
      </c>
      <c r="C196">
        <v>2</v>
      </c>
      <c r="D196">
        <v>111.14</v>
      </c>
      <c r="G196" s="5">
        <f t="shared" si="49"/>
        <v>104.32089108601106</v>
      </c>
      <c r="H196" s="7">
        <v>101.8458</v>
      </c>
      <c r="K196" s="5">
        <f t="shared" si="50"/>
        <v>102.95662476373211</v>
      </c>
      <c r="L196">
        <v>260.83</v>
      </c>
      <c r="N196" s="5">
        <v>202.2</v>
      </c>
      <c r="O196" s="5">
        <f t="shared" si="51"/>
        <v>77.52175746654909</v>
      </c>
      <c r="P196" s="5">
        <v>293815.06678999995</v>
      </c>
      <c r="Q196" s="5">
        <f t="shared" si="52"/>
        <v>293.81506678999995</v>
      </c>
      <c r="R196">
        <v>148.44852730000011</v>
      </c>
      <c r="S196" s="5">
        <f t="shared" si="53"/>
        <v>442.26359409000008</v>
      </c>
      <c r="T196" s="5">
        <f t="shared" si="54"/>
        <v>169.5600943488096</v>
      </c>
      <c r="U196">
        <v>170.14941658000023</v>
      </c>
      <c r="V196" s="12">
        <f t="shared" si="55"/>
        <v>65.233836820917929</v>
      </c>
      <c r="W196" s="12"/>
      <c r="X196" s="17">
        <f t="shared" si="56"/>
        <v>6048892522.2383146</v>
      </c>
      <c r="Y196" s="17">
        <f t="shared" ref="Y196:Y218" si="60">X196/1000000</f>
        <v>6048.892522238315</v>
      </c>
      <c r="Z196" s="12">
        <f t="shared" si="57"/>
        <v>2.8031593176012666</v>
      </c>
      <c r="AA196" s="12">
        <f t="shared" si="58"/>
        <v>2.8129019643589008</v>
      </c>
      <c r="AB196" s="12">
        <f t="shared" si="59"/>
        <v>1.0784426501395166</v>
      </c>
    </row>
    <row r="197" spans="2:28" x14ac:dyDescent="0.3">
      <c r="B197">
        <v>2022</v>
      </c>
      <c r="C197">
        <v>3</v>
      </c>
      <c r="D197">
        <v>111.14</v>
      </c>
      <c r="G197" s="5">
        <f t="shared" si="49"/>
        <v>104.32089108601106</v>
      </c>
      <c r="H197" s="7">
        <v>102.67319999999999</v>
      </c>
      <c r="K197" s="5">
        <f t="shared" si="50"/>
        <v>103.79304915560209</v>
      </c>
      <c r="L197">
        <v>263.83999999999997</v>
      </c>
      <c r="N197" s="5">
        <v>235.7</v>
      </c>
      <c r="O197" s="5">
        <f t="shared" si="51"/>
        <v>89.334445118253498</v>
      </c>
      <c r="P197" s="5">
        <v>344212.09794999997</v>
      </c>
      <c r="Q197" s="5">
        <f t="shared" si="52"/>
        <v>344.21209794999999</v>
      </c>
      <c r="R197">
        <v>151.51035082000035</v>
      </c>
      <c r="S197" s="5">
        <f t="shared" si="53"/>
        <v>495.72244877000037</v>
      </c>
      <c r="T197" s="5">
        <f t="shared" si="54"/>
        <v>187.88752606503957</v>
      </c>
      <c r="U197">
        <v>240.42682745000013</v>
      </c>
      <c r="V197" s="12">
        <f t="shared" si="55"/>
        <v>91.125995849757487</v>
      </c>
      <c r="W197" s="12"/>
      <c r="X197" s="17">
        <f t="shared" si="56"/>
        <v>6048892522.2383146</v>
      </c>
      <c r="Y197" s="17">
        <f t="shared" si="60"/>
        <v>6048.892522238315</v>
      </c>
      <c r="Z197" s="12">
        <f t="shared" si="57"/>
        <v>3.1061475365000235</v>
      </c>
      <c r="AA197" s="12">
        <f t="shared" si="58"/>
        <v>3.974724737893562</v>
      </c>
      <c r="AB197" s="12">
        <f t="shared" si="59"/>
        <v>1.5064905768244248</v>
      </c>
    </row>
    <row r="198" spans="2:28" x14ac:dyDescent="0.3">
      <c r="B198">
        <v>2022</v>
      </c>
      <c r="C198">
        <v>4</v>
      </c>
      <c r="D198">
        <v>110.45</v>
      </c>
      <c r="G198" s="5">
        <f t="shared" si="49"/>
        <v>103.67322674509558</v>
      </c>
      <c r="H198" s="7">
        <v>102.9024</v>
      </c>
      <c r="K198" s="5">
        <f t="shared" si="50"/>
        <v>104.02474902340074</v>
      </c>
      <c r="L198">
        <v>267.05</v>
      </c>
      <c r="N198" s="5">
        <v>233.9</v>
      </c>
      <c r="O198" s="5">
        <f t="shared" si="51"/>
        <v>87.586594270735816</v>
      </c>
      <c r="P198" s="5">
        <v>292161.03925000009</v>
      </c>
      <c r="Q198" s="5">
        <f t="shared" si="52"/>
        <v>292.1610392500001</v>
      </c>
      <c r="R198">
        <v>147.12685828000022</v>
      </c>
      <c r="S198" s="5">
        <f t="shared" si="53"/>
        <v>439.28789753000035</v>
      </c>
      <c r="T198" s="5">
        <f t="shared" si="54"/>
        <v>164.49649785807912</v>
      </c>
      <c r="U198">
        <v>212.10117589000021</v>
      </c>
      <c r="V198" s="12">
        <f t="shared" si="55"/>
        <v>79.423769290395128</v>
      </c>
      <c r="W198" s="12"/>
      <c r="X198" s="17">
        <f t="shared" si="56"/>
        <v>6048892522.2383146</v>
      </c>
      <c r="Y198" s="17">
        <f t="shared" si="60"/>
        <v>6048.892522238315</v>
      </c>
      <c r="Z198" s="12">
        <f t="shared" si="57"/>
        <v>2.7194481841646168</v>
      </c>
      <c r="AA198" s="12">
        <f t="shared" si="58"/>
        <v>3.5064464298253868</v>
      </c>
      <c r="AB198" s="12">
        <f t="shared" si="59"/>
        <v>1.3130299306591975</v>
      </c>
    </row>
    <row r="199" spans="2:28" x14ac:dyDescent="0.3">
      <c r="B199">
        <v>2022</v>
      </c>
      <c r="C199">
        <v>5</v>
      </c>
      <c r="D199">
        <v>110.9</v>
      </c>
      <c r="G199" s="5">
        <f t="shared" si="49"/>
        <v>104.09561653264916</v>
      </c>
      <c r="H199" s="7">
        <v>102.9659</v>
      </c>
      <c r="K199" s="5">
        <f t="shared" si="50"/>
        <v>104.08894161330133</v>
      </c>
      <c r="L199">
        <v>268.79000000000002</v>
      </c>
      <c r="N199" s="5">
        <v>266</v>
      </c>
      <c r="O199" s="5">
        <f t="shared" si="51"/>
        <v>98.962014955913531</v>
      </c>
      <c r="P199" s="5">
        <v>305796.07825000002</v>
      </c>
      <c r="Q199" s="5">
        <f t="shared" si="52"/>
        <v>305.79607824999999</v>
      </c>
      <c r="R199">
        <v>168.42779932000002</v>
      </c>
      <c r="S199" s="5">
        <f t="shared" si="53"/>
        <v>474.22387757000001</v>
      </c>
      <c r="T199" s="5">
        <f t="shared" si="54"/>
        <v>176.42913708471298</v>
      </c>
      <c r="U199">
        <v>228.09364285000004</v>
      </c>
      <c r="V199" s="12">
        <f t="shared" si="55"/>
        <v>84.85942291379888</v>
      </c>
      <c r="W199" s="12"/>
      <c r="X199" s="17">
        <f t="shared" si="56"/>
        <v>6048892522.2383146</v>
      </c>
      <c r="Y199" s="17">
        <f t="shared" si="60"/>
        <v>6048.892522238315</v>
      </c>
      <c r="Z199" s="12">
        <f t="shared" si="57"/>
        <v>2.9167180014537211</v>
      </c>
      <c r="AA199" s="12">
        <f t="shared" si="58"/>
        <v>3.770833123773158</v>
      </c>
      <c r="AB199" s="12">
        <f t="shared" si="59"/>
        <v>1.4028918947033586</v>
      </c>
    </row>
    <row r="200" spans="2:28" x14ac:dyDescent="0.3">
      <c r="B200">
        <v>2022</v>
      </c>
      <c r="C200">
        <v>6</v>
      </c>
      <c r="D200">
        <v>111.88</v>
      </c>
      <c r="G200" s="5">
        <f t="shared" si="49"/>
        <v>105.01548762554361</v>
      </c>
      <c r="H200" s="7">
        <v>102.8224</v>
      </c>
      <c r="K200" s="5">
        <f t="shared" si="50"/>
        <v>103.94387646919529</v>
      </c>
      <c r="L200">
        <v>270.14999999999998</v>
      </c>
      <c r="N200" s="5">
        <v>263.7</v>
      </c>
      <c r="O200" s="5">
        <f t="shared" si="51"/>
        <v>97.612437534702948</v>
      </c>
      <c r="P200" s="5">
        <v>355518.3002</v>
      </c>
      <c r="Q200" s="5">
        <f t="shared" si="52"/>
        <v>355.5183002</v>
      </c>
      <c r="R200">
        <v>138.42575121000019</v>
      </c>
      <c r="S200" s="5">
        <f t="shared" si="53"/>
        <v>493.94405141000016</v>
      </c>
      <c r="T200" s="5">
        <f t="shared" si="54"/>
        <v>182.84066311678703</v>
      </c>
      <c r="U200">
        <v>227.00666055999989</v>
      </c>
      <c r="V200" s="12">
        <f t="shared" si="55"/>
        <v>84.029857693873737</v>
      </c>
      <c r="W200" s="12"/>
      <c r="X200" s="17">
        <f t="shared" si="56"/>
        <v>6048892522.2383146</v>
      </c>
      <c r="Y200" s="17">
        <f t="shared" si="60"/>
        <v>6048.892522238315</v>
      </c>
      <c r="Z200" s="12">
        <f t="shared" si="57"/>
        <v>3.0227130411821101</v>
      </c>
      <c r="AA200" s="12">
        <f t="shared" si="58"/>
        <v>3.7528631848793204</v>
      </c>
      <c r="AB200" s="12">
        <f t="shared" si="59"/>
        <v>1.3891775624206257</v>
      </c>
    </row>
    <row r="201" spans="2:28" x14ac:dyDescent="0.3">
      <c r="B201">
        <v>2022</v>
      </c>
      <c r="C201">
        <v>7</v>
      </c>
      <c r="D201">
        <v>110.65</v>
      </c>
      <c r="G201" s="5">
        <f t="shared" si="49"/>
        <v>103.86095553956383</v>
      </c>
      <c r="H201" s="7">
        <v>103.0505</v>
      </c>
      <c r="K201" s="5">
        <f t="shared" si="50"/>
        <v>104.1744643393736</v>
      </c>
      <c r="L201">
        <v>273.76</v>
      </c>
      <c r="N201" s="5">
        <v>274.39999999999998</v>
      </c>
      <c r="O201" s="5">
        <f t="shared" si="51"/>
        <v>100.23378141437756</v>
      </c>
      <c r="P201" s="5">
        <v>338140.02525000001</v>
      </c>
      <c r="Q201" s="5">
        <f t="shared" si="52"/>
        <v>338.14002525000001</v>
      </c>
      <c r="R201">
        <v>140.71164251000013</v>
      </c>
      <c r="S201" s="5">
        <f t="shared" si="53"/>
        <v>478.85166776000017</v>
      </c>
      <c r="T201" s="5">
        <f t="shared" si="54"/>
        <v>174.91659400935134</v>
      </c>
      <c r="U201">
        <v>192.19490602999991</v>
      </c>
      <c r="V201" s="12">
        <f t="shared" si="55"/>
        <v>70.205620262273499</v>
      </c>
      <c r="W201" s="12"/>
      <c r="X201" s="17">
        <f t="shared" si="56"/>
        <v>6048892522.2383146</v>
      </c>
      <c r="Y201" s="17">
        <f t="shared" si="60"/>
        <v>6048.892522238315</v>
      </c>
      <c r="Z201" s="12">
        <f t="shared" si="57"/>
        <v>2.891712712141655</v>
      </c>
      <c r="AA201" s="12">
        <f t="shared" si="58"/>
        <v>3.1773569347348998</v>
      </c>
      <c r="AB201" s="12">
        <f t="shared" si="59"/>
        <v>1.1606359346635375</v>
      </c>
    </row>
    <row r="202" spans="2:28" x14ac:dyDescent="0.3">
      <c r="B202">
        <v>2022</v>
      </c>
      <c r="C202">
        <v>8</v>
      </c>
      <c r="D202">
        <v>109.91</v>
      </c>
      <c r="G202" s="5">
        <f t="shared" si="49"/>
        <v>103.16635900003128</v>
      </c>
      <c r="H202" s="7">
        <v>103.1703</v>
      </c>
      <c r="K202" s="5">
        <f t="shared" si="50"/>
        <v>104.29557098929628</v>
      </c>
      <c r="L202">
        <v>276.12</v>
      </c>
      <c r="N202" s="5">
        <v>299.7</v>
      </c>
      <c r="O202" s="5">
        <f t="shared" si="51"/>
        <v>108.53976531942632</v>
      </c>
      <c r="P202" s="5">
        <v>374312.97265000001</v>
      </c>
      <c r="Q202" s="5">
        <f t="shared" si="52"/>
        <v>374.31297265000001</v>
      </c>
      <c r="R202">
        <v>136.14690948000009</v>
      </c>
      <c r="S202" s="5">
        <f t="shared" si="53"/>
        <v>510.4598821300001</v>
      </c>
      <c r="T202" s="5">
        <f t="shared" si="54"/>
        <v>184.86885489280027</v>
      </c>
      <c r="U202">
        <v>182.17431615000004</v>
      </c>
      <c r="V202" s="12">
        <f t="shared" si="55"/>
        <v>65.976501575402011</v>
      </c>
      <c r="W202" s="12"/>
      <c r="X202" s="17">
        <f t="shared" si="56"/>
        <v>6048892522.2383146</v>
      </c>
      <c r="Y202" s="17">
        <f t="shared" si="60"/>
        <v>6048.892522238315</v>
      </c>
      <c r="Z202" s="12">
        <f t="shared" si="57"/>
        <v>3.056243009991388</v>
      </c>
      <c r="AA202" s="12">
        <f t="shared" si="58"/>
        <v>3.0116970252033637</v>
      </c>
      <c r="AB202" s="12">
        <f t="shared" si="59"/>
        <v>1.0907203481107357</v>
      </c>
    </row>
    <row r="203" spans="2:28" x14ac:dyDescent="0.3">
      <c r="B203">
        <v>2022</v>
      </c>
      <c r="C203">
        <v>9</v>
      </c>
      <c r="D203">
        <v>110.38</v>
      </c>
      <c r="G203" s="5">
        <f t="shared" si="49"/>
        <v>103.60752166703168</v>
      </c>
      <c r="H203" s="7">
        <v>103.5326</v>
      </c>
      <c r="K203" s="5">
        <f t="shared" si="50"/>
        <v>104.66182256915427</v>
      </c>
      <c r="L203">
        <v>276.31</v>
      </c>
      <c r="N203" s="5">
        <v>288.10000000000002</v>
      </c>
      <c r="O203" s="5">
        <f t="shared" si="51"/>
        <v>104.26694654554667</v>
      </c>
      <c r="P203" s="5">
        <v>326202.65979999991</v>
      </c>
      <c r="Q203" s="5">
        <f t="shared" si="52"/>
        <v>326.20265979999988</v>
      </c>
      <c r="R203">
        <v>132.84078094</v>
      </c>
      <c r="S203" s="5">
        <f t="shared" si="53"/>
        <v>459.04344073999988</v>
      </c>
      <c r="T203" s="5">
        <f t="shared" si="54"/>
        <v>166.13348801708221</v>
      </c>
      <c r="U203">
        <v>131.50214158000009</v>
      </c>
      <c r="V203" s="12">
        <f t="shared" si="55"/>
        <v>47.592248409395275</v>
      </c>
      <c r="W203" s="12"/>
      <c r="X203" s="17">
        <f t="shared" si="56"/>
        <v>6048892522.2383146</v>
      </c>
      <c r="Y203" s="17">
        <f t="shared" si="60"/>
        <v>6048.892522238315</v>
      </c>
      <c r="Z203" s="12">
        <f t="shared" si="57"/>
        <v>2.7465108266728908</v>
      </c>
      <c r="AA203" s="12">
        <f t="shared" si="58"/>
        <v>2.1739870744362211</v>
      </c>
      <c r="AB203" s="12">
        <f t="shared" si="59"/>
        <v>0.78679275973950313</v>
      </c>
    </row>
    <row r="204" spans="2:28" x14ac:dyDescent="0.3">
      <c r="B204">
        <v>2022</v>
      </c>
      <c r="C204">
        <v>10</v>
      </c>
      <c r="D204">
        <v>109.66</v>
      </c>
      <c r="G204" s="5">
        <f t="shared" si="49"/>
        <v>102.93169800694595</v>
      </c>
      <c r="H204" s="7">
        <v>103.4442</v>
      </c>
      <c r="K204" s="5">
        <f t="shared" si="50"/>
        <v>104.57245839675723</v>
      </c>
      <c r="L204">
        <v>279.98</v>
      </c>
      <c r="N204" s="5">
        <v>319.89999999999998</v>
      </c>
      <c r="O204" s="5">
        <f t="shared" si="51"/>
        <v>114.25816129723549</v>
      </c>
      <c r="P204" s="5">
        <v>300108.57554000005</v>
      </c>
      <c r="Q204" s="5">
        <f t="shared" si="52"/>
        <v>300.10857554000006</v>
      </c>
      <c r="R204">
        <v>140.92293400000025</v>
      </c>
      <c r="S204" s="5">
        <f t="shared" si="53"/>
        <v>441.03150954000034</v>
      </c>
      <c r="T204" s="5">
        <f t="shared" si="54"/>
        <v>157.52250501464403</v>
      </c>
      <c r="U204">
        <v>135.62379573999999</v>
      </c>
      <c r="V204" s="12">
        <f t="shared" si="55"/>
        <v>48.440529944996065</v>
      </c>
      <c r="W204" s="12"/>
      <c r="X204" s="17">
        <f t="shared" si="56"/>
        <v>6048892522.2383146</v>
      </c>
      <c r="Y204" s="17">
        <f t="shared" si="60"/>
        <v>6048.892522238315</v>
      </c>
      <c r="Z204" s="12">
        <f t="shared" si="57"/>
        <v>2.6041544701864674</v>
      </c>
      <c r="AA204" s="12">
        <f t="shared" si="58"/>
        <v>2.2421260626038393</v>
      </c>
      <c r="AB204" s="12">
        <f t="shared" si="59"/>
        <v>0.80081650925203185</v>
      </c>
    </row>
    <row r="205" spans="2:28" x14ac:dyDescent="0.3">
      <c r="B205">
        <v>2022</v>
      </c>
      <c r="C205">
        <v>11</v>
      </c>
      <c r="D205">
        <v>109.36</v>
      </c>
      <c r="G205" s="5">
        <f t="shared" si="49"/>
        <v>102.65010481524357</v>
      </c>
      <c r="H205" s="7">
        <v>103.1058</v>
      </c>
      <c r="K205" s="5">
        <f t="shared" si="50"/>
        <v>104.23036749246813</v>
      </c>
      <c r="L205">
        <v>281.89</v>
      </c>
      <c r="N205" s="5">
        <v>309.5</v>
      </c>
      <c r="O205" s="5">
        <f t="shared" si="51"/>
        <v>109.79460073078151</v>
      </c>
      <c r="P205" s="5">
        <v>325428.27393000002</v>
      </c>
      <c r="Q205" s="5">
        <f t="shared" si="52"/>
        <v>325.42827393000005</v>
      </c>
      <c r="R205">
        <v>122.8024607400002</v>
      </c>
      <c r="S205" s="5">
        <f t="shared" si="53"/>
        <v>448.23073467000023</v>
      </c>
      <c r="T205" s="5">
        <f t="shared" si="54"/>
        <v>159.00909385575943</v>
      </c>
      <c r="U205">
        <v>122.48012987</v>
      </c>
      <c r="V205" s="12">
        <f t="shared" si="55"/>
        <v>43.449618599453686</v>
      </c>
      <c r="W205" s="12"/>
      <c r="X205" s="17">
        <f t="shared" si="56"/>
        <v>6048892522.2383146</v>
      </c>
      <c r="Y205" s="17">
        <f t="shared" si="60"/>
        <v>6048.892522238315</v>
      </c>
      <c r="Z205" s="12">
        <f t="shared" si="57"/>
        <v>2.6287306853473429</v>
      </c>
      <c r="AA205" s="12">
        <f t="shared" si="58"/>
        <v>2.0248356111422163</v>
      </c>
      <c r="AB205" s="12">
        <f t="shared" si="59"/>
        <v>0.71830700313676121</v>
      </c>
    </row>
    <row r="206" spans="2:28" x14ac:dyDescent="0.3">
      <c r="B206">
        <v>2022</v>
      </c>
      <c r="C206">
        <v>12</v>
      </c>
      <c r="D206">
        <v>107.87</v>
      </c>
      <c r="G206" s="5">
        <f t="shared" si="49"/>
        <v>101.25152529645504</v>
      </c>
      <c r="H206" s="7">
        <v>101.8266</v>
      </c>
      <c r="K206" s="5">
        <f t="shared" si="50"/>
        <v>102.93721535072279</v>
      </c>
      <c r="L206">
        <v>286.42</v>
      </c>
      <c r="N206" s="5">
        <v>337.1</v>
      </c>
      <c r="O206" s="5">
        <f t="shared" si="51"/>
        <v>117.69429509112493</v>
      </c>
      <c r="P206" s="5">
        <v>281984.08230000001</v>
      </c>
      <c r="Q206" s="5">
        <f t="shared" si="52"/>
        <v>281.98408230000001</v>
      </c>
      <c r="R206">
        <v>137.15273483000004</v>
      </c>
      <c r="S206" s="5">
        <f t="shared" si="53"/>
        <v>419.13681713000005</v>
      </c>
      <c r="T206" s="5">
        <f t="shared" si="54"/>
        <v>146.33643500104742</v>
      </c>
      <c r="U206">
        <v>145.78242994000004</v>
      </c>
      <c r="V206" s="12">
        <f t="shared" si="55"/>
        <v>50.898132092730961</v>
      </c>
      <c r="W206" s="12"/>
      <c r="X206" s="17">
        <f t="shared" si="56"/>
        <v>6048892522.2383146</v>
      </c>
      <c r="Y206" s="17">
        <f t="shared" si="60"/>
        <v>6048.892522238315</v>
      </c>
      <c r="Z206" s="12">
        <f t="shared" si="57"/>
        <v>2.4192268991894323</v>
      </c>
      <c r="AA206" s="12">
        <f t="shared" si="58"/>
        <v>2.410068114188531</v>
      </c>
      <c r="AB206" s="12">
        <f t="shared" si="59"/>
        <v>0.8414454696559357</v>
      </c>
    </row>
    <row r="207" spans="2:28" s="9" customFormat="1" x14ac:dyDescent="0.3">
      <c r="B207" s="9">
        <v>2023</v>
      </c>
      <c r="C207" s="9">
        <v>1</v>
      </c>
      <c r="D207" s="9">
        <v>108.52</v>
      </c>
      <c r="G207" s="9">
        <f t="shared" si="49"/>
        <v>101.86164387847688</v>
      </c>
      <c r="H207" s="10">
        <v>102.74760000000001</v>
      </c>
      <c r="K207" s="9">
        <f t="shared" si="50"/>
        <v>103.86826063101319</v>
      </c>
      <c r="L207" s="9">
        <v>286.7</v>
      </c>
      <c r="M207" s="9">
        <f>AVERAGE(L207:L218)</f>
        <v>294.7791666666667</v>
      </c>
      <c r="N207" s="9">
        <v>317</v>
      </c>
      <c r="O207" s="9">
        <f t="shared" si="51"/>
        <v>110.56853854203</v>
      </c>
      <c r="P207" s="9">
        <v>298893.10576000006</v>
      </c>
      <c r="Q207" s="9">
        <f t="shared" si="52"/>
        <v>298.89310576000008</v>
      </c>
      <c r="R207" s="9">
        <v>180.98982413000004</v>
      </c>
      <c r="S207" s="9">
        <f t="shared" si="53"/>
        <v>479.88292989000013</v>
      </c>
      <c r="T207" s="9">
        <f t="shared" si="54"/>
        <v>167.38155908266486</v>
      </c>
      <c r="U207" s="9">
        <v>180.60166239000006</v>
      </c>
      <c r="V207" s="13">
        <f t="shared" si="55"/>
        <v>62.993255106383003</v>
      </c>
      <c r="W207" s="13">
        <v>17805842283.872475</v>
      </c>
      <c r="X207" s="15">
        <f t="shared" ref="X207:X218" si="61">($W$207/$L$207)*100</f>
        <v>6210618166.6803198</v>
      </c>
      <c r="Y207" s="15">
        <f t="shared" si="60"/>
        <v>6210.6181666803195</v>
      </c>
      <c r="Z207" s="13">
        <f t="shared" si="57"/>
        <v>2.6950869396650279</v>
      </c>
      <c r="AA207" s="13">
        <f t="shared" si="58"/>
        <v>2.9079498617210064</v>
      </c>
      <c r="AB207" s="13">
        <f t="shared" si="59"/>
        <v>1.0142831746498104</v>
      </c>
    </row>
    <row r="208" spans="2:28" x14ac:dyDescent="0.3">
      <c r="B208">
        <v>2023</v>
      </c>
      <c r="C208">
        <v>2</v>
      </c>
      <c r="D208">
        <v>107.88</v>
      </c>
      <c r="G208" s="5">
        <f t="shared" si="49"/>
        <v>101.26091173617844</v>
      </c>
      <c r="H208" s="7">
        <v>102.80029999999999</v>
      </c>
      <c r="K208" s="5">
        <f t="shared" si="50"/>
        <v>103.92153542609601</v>
      </c>
      <c r="L208">
        <v>289.79000000000002</v>
      </c>
      <c r="N208" s="5">
        <v>330.6</v>
      </c>
      <c r="O208" s="5">
        <f t="shared" si="51"/>
        <v>114.08261154629213</v>
      </c>
      <c r="P208" s="5">
        <v>268847.86015000008</v>
      </c>
      <c r="Q208" s="5">
        <f t="shared" si="52"/>
        <v>268.84786015000009</v>
      </c>
      <c r="R208">
        <v>149.66617914000008</v>
      </c>
      <c r="S208" s="5">
        <f t="shared" si="53"/>
        <v>418.51403929000014</v>
      </c>
      <c r="T208" s="5">
        <f t="shared" si="54"/>
        <v>144.41976579247046</v>
      </c>
      <c r="U208">
        <v>195.64362640999997</v>
      </c>
      <c r="V208" s="12">
        <f t="shared" si="55"/>
        <v>67.512207602056648</v>
      </c>
      <c r="W208" s="12"/>
      <c r="X208" s="17">
        <f t="shared" si="61"/>
        <v>6210618166.6803198</v>
      </c>
      <c r="Y208" s="17">
        <f t="shared" si="60"/>
        <v>6210.6181666803195</v>
      </c>
      <c r="Z208" s="12">
        <f t="shared" si="57"/>
        <v>2.3253686173668808</v>
      </c>
      <c r="AA208" s="12">
        <f t="shared" si="58"/>
        <v>3.1501473953046899</v>
      </c>
      <c r="AB208" s="12">
        <f t="shared" si="59"/>
        <v>1.0870448929585872</v>
      </c>
    </row>
    <row r="209" spans="2:28" x14ac:dyDescent="0.3">
      <c r="B209">
        <v>2023</v>
      </c>
      <c r="C209">
        <v>3</v>
      </c>
      <c r="D209">
        <v>107.51</v>
      </c>
      <c r="G209" s="5">
        <f t="shared" si="49"/>
        <v>100.91361346641219</v>
      </c>
      <c r="H209" s="7">
        <v>102.8143</v>
      </c>
      <c r="K209" s="5">
        <f t="shared" si="50"/>
        <v>103.93568812308197</v>
      </c>
      <c r="L209">
        <v>291.24</v>
      </c>
      <c r="N209" s="5">
        <v>372.7</v>
      </c>
      <c r="O209" s="5">
        <f t="shared" si="51"/>
        <v>127.97005905782173</v>
      </c>
      <c r="P209" s="5">
        <v>315413.50525000016</v>
      </c>
      <c r="Q209" s="5">
        <f t="shared" si="52"/>
        <v>315.41350525000018</v>
      </c>
      <c r="R209">
        <v>175.97035192999991</v>
      </c>
      <c r="S209" s="5">
        <f t="shared" si="53"/>
        <v>491.38385718000006</v>
      </c>
      <c r="T209" s="5">
        <f t="shared" si="54"/>
        <v>168.72128044911415</v>
      </c>
      <c r="U209">
        <v>248.55727342000017</v>
      </c>
      <c r="V209" s="12">
        <f t="shared" si="55"/>
        <v>85.344483388270902</v>
      </c>
      <c r="W209" s="12"/>
      <c r="X209" s="17">
        <f t="shared" si="61"/>
        <v>6210618166.6803198</v>
      </c>
      <c r="Y209" s="17">
        <f t="shared" si="60"/>
        <v>6210.6181666803195</v>
      </c>
      <c r="Z209" s="12">
        <f t="shared" si="57"/>
        <v>2.7166584053467666</v>
      </c>
      <c r="AA209" s="12">
        <f t="shared" si="58"/>
        <v>4.0021341958115944</v>
      </c>
      <c r="AB209" s="12">
        <f t="shared" si="59"/>
        <v>1.3741705108541389</v>
      </c>
    </row>
    <row r="210" spans="2:28" x14ac:dyDescent="0.3">
      <c r="B210">
        <v>2023</v>
      </c>
      <c r="C210">
        <v>4</v>
      </c>
      <c r="D210">
        <v>107.56</v>
      </c>
      <c r="G210" s="5">
        <f t="shared" si="49"/>
        <v>100.96054566502924</v>
      </c>
      <c r="H210" s="7">
        <v>103.22410000000001</v>
      </c>
      <c r="K210" s="5">
        <f t="shared" si="50"/>
        <v>104.34995778199946</v>
      </c>
      <c r="L210">
        <v>292.52</v>
      </c>
      <c r="N210" s="5">
        <v>374.3</v>
      </c>
      <c r="O210" s="5">
        <f t="shared" si="51"/>
        <v>127.95706276493917</v>
      </c>
      <c r="P210" s="5">
        <v>261461.49083000008</v>
      </c>
      <c r="Q210" s="5">
        <f t="shared" si="52"/>
        <v>261.46149083000006</v>
      </c>
      <c r="R210">
        <v>134.81626699999998</v>
      </c>
      <c r="S210" s="5">
        <f t="shared" si="53"/>
        <v>396.27775783000004</v>
      </c>
      <c r="T210" s="5">
        <f t="shared" si="54"/>
        <v>135.47031239915222</v>
      </c>
      <c r="U210">
        <v>219.66704971999997</v>
      </c>
      <c r="V210" s="12">
        <f t="shared" si="55"/>
        <v>75.094711376999854</v>
      </c>
      <c r="W210" s="12"/>
      <c r="X210" s="17">
        <f t="shared" si="61"/>
        <v>6210618166.6803198</v>
      </c>
      <c r="Y210" s="17">
        <f t="shared" si="60"/>
        <v>6210.6181666803195</v>
      </c>
      <c r="Z210" s="12">
        <f t="shared" si="57"/>
        <v>2.1812693803322865</v>
      </c>
      <c r="AA210" s="12">
        <f t="shared" si="58"/>
        <v>3.5369595074851579</v>
      </c>
      <c r="AB210" s="12">
        <f t="shared" si="59"/>
        <v>1.2091342497898121</v>
      </c>
    </row>
    <row r="211" spans="2:28" x14ac:dyDescent="0.3">
      <c r="B211">
        <v>2023</v>
      </c>
      <c r="C211">
        <v>5</v>
      </c>
      <c r="D211">
        <v>107.13</v>
      </c>
      <c r="G211" s="5">
        <f t="shared" si="49"/>
        <v>100.55692875692249</v>
      </c>
      <c r="H211" s="7">
        <v>102.98090000000001</v>
      </c>
      <c r="K211" s="5">
        <f t="shared" si="50"/>
        <v>104.10410521721485</v>
      </c>
      <c r="L211">
        <v>294.24</v>
      </c>
      <c r="N211" s="5">
        <v>426.2</v>
      </c>
      <c r="O211" s="5">
        <f t="shared" si="51"/>
        <v>144.84774333877107</v>
      </c>
      <c r="P211" s="5">
        <v>293370.19338999991</v>
      </c>
      <c r="Q211" s="5">
        <f t="shared" si="52"/>
        <v>293.37019338999994</v>
      </c>
      <c r="R211">
        <v>141.83639842756008</v>
      </c>
      <c r="S211" s="5">
        <f t="shared" si="53"/>
        <v>435.20659181756002</v>
      </c>
      <c r="T211" s="5">
        <f t="shared" si="54"/>
        <v>147.90871119411366</v>
      </c>
      <c r="U211">
        <v>247.87896188000002</v>
      </c>
      <c r="V211" s="12">
        <f t="shared" si="55"/>
        <v>84.24380161772703</v>
      </c>
      <c r="W211" s="12"/>
      <c r="X211" s="17">
        <f t="shared" si="61"/>
        <v>6210618166.6803198</v>
      </c>
      <c r="Y211" s="17">
        <f t="shared" si="60"/>
        <v>6210.6181666803195</v>
      </c>
      <c r="Z211" s="12">
        <f t="shared" si="57"/>
        <v>2.3815457209660238</v>
      </c>
      <c r="AA211" s="12">
        <f t="shared" si="58"/>
        <v>3.9912123918655831</v>
      </c>
      <c r="AB211" s="12">
        <f t="shared" si="59"/>
        <v>1.3564479308950459</v>
      </c>
    </row>
    <row r="212" spans="2:28" x14ac:dyDescent="0.3">
      <c r="B212">
        <v>2023</v>
      </c>
      <c r="C212">
        <v>6</v>
      </c>
      <c r="D212">
        <v>106.5</v>
      </c>
      <c r="G212" s="5">
        <f t="shared" si="49"/>
        <v>99.965583054347476</v>
      </c>
      <c r="H212" s="7">
        <v>102.3809</v>
      </c>
      <c r="K212" s="5">
        <f t="shared" si="50"/>
        <v>103.49756106067389</v>
      </c>
      <c r="L212">
        <v>296.82</v>
      </c>
      <c r="N212" s="5">
        <v>394.2</v>
      </c>
      <c r="O212" s="5">
        <f t="shared" si="51"/>
        <v>132.80776228016978</v>
      </c>
      <c r="P212" s="5">
        <v>327934.15671999991</v>
      </c>
      <c r="Q212" s="5">
        <f t="shared" si="52"/>
        <v>327.93415671999992</v>
      </c>
      <c r="R212">
        <v>141.88228627701994</v>
      </c>
      <c r="S212" s="5">
        <f t="shared" si="53"/>
        <v>469.81644299701986</v>
      </c>
      <c r="T212" s="5">
        <f t="shared" si="54"/>
        <v>158.28328380736468</v>
      </c>
      <c r="U212">
        <v>198.6825235</v>
      </c>
      <c r="V212" s="12">
        <f t="shared" si="55"/>
        <v>66.937040462233014</v>
      </c>
      <c r="W212" s="12"/>
      <c r="X212" s="17">
        <f t="shared" si="61"/>
        <v>6210618166.6803198</v>
      </c>
      <c r="Y212" s="17">
        <f t="shared" si="60"/>
        <v>6210.6181666803195</v>
      </c>
      <c r="Z212" s="12">
        <f t="shared" si="57"/>
        <v>2.5485914535294927</v>
      </c>
      <c r="AA212" s="12">
        <f t="shared" si="58"/>
        <v>3.1990780654641204</v>
      </c>
      <c r="AB212" s="12">
        <f t="shared" si="59"/>
        <v>1.0777838641143189</v>
      </c>
    </row>
    <row r="213" spans="2:28" x14ac:dyDescent="0.3">
      <c r="B213">
        <v>2023</v>
      </c>
      <c r="C213">
        <v>7</v>
      </c>
      <c r="D213">
        <v>107.03</v>
      </c>
      <c r="G213" s="5">
        <f t="shared" si="49"/>
        <v>100.46306435968836</v>
      </c>
      <c r="H213" s="7">
        <v>103.0722</v>
      </c>
      <c r="K213" s="5">
        <f t="shared" si="50"/>
        <v>104.19640101970182</v>
      </c>
      <c r="L213">
        <v>296.13</v>
      </c>
      <c r="N213" s="5">
        <v>408.9</v>
      </c>
      <c r="O213" s="5">
        <f t="shared" si="51"/>
        <v>138.0812481004964</v>
      </c>
      <c r="P213" s="5">
        <v>333581.2035200001</v>
      </c>
      <c r="Q213" s="5">
        <f t="shared" si="52"/>
        <v>333.58120352000009</v>
      </c>
      <c r="R213">
        <v>127.88881692</v>
      </c>
      <c r="S213" s="5">
        <f t="shared" si="53"/>
        <v>461.4700204400001</v>
      </c>
      <c r="T213" s="5">
        <f t="shared" si="54"/>
        <v>155.83359350285352</v>
      </c>
      <c r="U213">
        <v>200.74917692000008</v>
      </c>
      <c r="V213" s="12">
        <f t="shared" si="55"/>
        <v>67.790894850234722</v>
      </c>
      <c r="W213" s="12"/>
      <c r="X213" s="17">
        <f t="shared" si="61"/>
        <v>6210618166.6803198</v>
      </c>
      <c r="Y213" s="17">
        <f t="shared" si="60"/>
        <v>6210.6181666803195</v>
      </c>
      <c r="Z213" s="12">
        <f t="shared" si="57"/>
        <v>2.5091478709622428</v>
      </c>
      <c r="AA213" s="12">
        <f t="shared" si="58"/>
        <v>3.2323541961895219</v>
      </c>
      <c r="AB213" s="12">
        <f t="shared" si="59"/>
        <v>1.0915321636408071</v>
      </c>
    </row>
    <row r="214" spans="2:28" x14ac:dyDescent="0.3">
      <c r="B214">
        <v>2023</v>
      </c>
      <c r="C214">
        <v>8</v>
      </c>
      <c r="D214">
        <v>107.46</v>
      </c>
      <c r="G214" s="5">
        <f t="shared" si="49"/>
        <v>100.8666812677951</v>
      </c>
      <c r="H214" s="7">
        <v>103.0951</v>
      </c>
      <c r="K214" s="5">
        <f t="shared" si="50"/>
        <v>104.21955078834314</v>
      </c>
      <c r="L214">
        <v>296.70999999999998</v>
      </c>
      <c r="N214" s="5">
        <v>409.8</v>
      </c>
      <c r="O214" s="5">
        <f t="shared" si="51"/>
        <v>138.11465740959187</v>
      </c>
      <c r="P214" s="5">
        <v>332877.34175999998</v>
      </c>
      <c r="Q214" s="5">
        <f t="shared" si="52"/>
        <v>332.87734175999998</v>
      </c>
      <c r="R214">
        <v>141.7007359900002</v>
      </c>
      <c r="S214" s="5">
        <f t="shared" si="53"/>
        <v>474.57807775000015</v>
      </c>
      <c r="T214" s="5">
        <f t="shared" si="54"/>
        <v>159.94677555525604</v>
      </c>
      <c r="U214">
        <v>184.92920898000008</v>
      </c>
      <c r="V214" s="12">
        <f t="shared" si="55"/>
        <v>62.326584537090127</v>
      </c>
      <c r="W214" s="12"/>
      <c r="X214" s="17">
        <f t="shared" si="61"/>
        <v>6210618166.6803198</v>
      </c>
      <c r="Y214" s="17">
        <f t="shared" si="60"/>
        <v>6210.6181666803195</v>
      </c>
      <c r="Z214" s="12">
        <f t="shared" si="57"/>
        <v>2.5753760940152968</v>
      </c>
      <c r="AA214" s="12">
        <f t="shared" si="58"/>
        <v>2.9776296661117692</v>
      </c>
      <c r="AB214" s="12">
        <f t="shared" si="59"/>
        <v>1.003548807290543</v>
      </c>
    </row>
    <row r="215" spans="2:28" x14ac:dyDescent="0.3">
      <c r="B215">
        <v>2023</v>
      </c>
      <c r="C215">
        <v>9</v>
      </c>
      <c r="D215">
        <v>108.15</v>
      </c>
      <c r="G215" s="5">
        <f t="shared" si="49"/>
        <v>101.51434560871061</v>
      </c>
      <c r="H215" s="7">
        <v>103.3081</v>
      </c>
      <c r="K215" s="5">
        <f t="shared" si="50"/>
        <v>104.43487396391518</v>
      </c>
      <c r="L215">
        <v>296.13</v>
      </c>
      <c r="N215" s="5">
        <v>399.8</v>
      </c>
      <c r="O215" s="5">
        <f t="shared" si="51"/>
        <v>135.00827339344207</v>
      </c>
      <c r="P215" s="5">
        <v>293417.37650999991</v>
      </c>
      <c r="Q215" s="5">
        <f t="shared" si="52"/>
        <v>293.41737650999994</v>
      </c>
      <c r="R215">
        <v>118.68889699000006</v>
      </c>
      <c r="S215" s="5">
        <f t="shared" si="53"/>
        <v>412.10627349999999</v>
      </c>
      <c r="T215" s="5">
        <f t="shared" si="54"/>
        <v>139.16397308614458</v>
      </c>
      <c r="U215">
        <v>161.33261279000004</v>
      </c>
      <c r="V215" s="12">
        <f t="shared" si="55"/>
        <v>54.480333904028655</v>
      </c>
      <c r="W215" s="12"/>
      <c r="X215" s="17">
        <f t="shared" si="61"/>
        <v>6210618166.6803198</v>
      </c>
      <c r="Y215" s="17">
        <f t="shared" si="60"/>
        <v>6210.6181666803195</v>
      </c>
      <c r="Z215" s="12">
        <f t="shared" si="57"/>
        <v>2.2407426982510836</v>
      </c>
      <c r="AA215" s="12">
        <f t="shared" si="58"/>
        <v>2.5976900923573449</v>
      </c>
      <c r="AB215" s="12">
        <f t="shared" si="59"/>
        <v>0.87721274182195152</v>
      </c>
    </row>
    <row r="216" spans="2:28" x14ac:dyDescent="0.3">
      <c r="B216">
        <v>2023</v>
      </c>
      <c r="C216">
        <v>10</v>
      </c>
      <c r="D216">
        <v>108.09</v>
      </c>
      <c r="G216" s="5">
        <f t="shared" si="49"/>
        <v>101.45802697037013</v>
      </c>
      <c r="H216" s="7">
        <v>102.57810000000001</v>
      </c>
      <c r="K216" s="5">
        <f t="shared" si="50"/>
        <v>103.69691190679036</v>
      </c>
      <c r="L216">
        <v>296.79000000000002</v>
      </c>
      <c r="N216" s="5">
        <v>410.9</v>
      </c>
      <c r="O216" s="5">
        <f t="shared" si="51"/>
        <v>138.44806091849452</v>
      </c>
      <c r="P216" s="5">
        <v>280351.11283000006</v>
      </c>
      <c r="Q216" s="5">
        <f t="shared" si="52"/>
        <v>280.35111283000003</v>
      </c>
      <c r="R216">
        <v>129.39618445000002</v>
      </c>
      <c r="S216" s="5">
        <f t="shared" si="53"/>
        <v>409.74729728000005</v>
      </c>
      <c r="T216" s="5">
        <f t="shared" si="54"/>
        <v>138.05967090535395</v>
      </c>
      <c r="U216">
        <v>168.69512886000001</v>
      </c>
      <c r="V216" s="12">
        <f t="shared" si="55"/>
        <v>56.839896512685741</v>
      </c>
      <c r="W216" s="12"/>
      <c r="X216" s="17">
        <f t="shared" si="61"/>
        <v>6210618166.6803198</v>
      </c>
      <c r="Y216" s="17">
        <f t="shared" si="60"/>
        <v>6210.6181666803195</v>
      </c>
      <c r="Z216" s="12">
        <f t="shared" si="57"/>
        <v>2.2229618244128697</v>
      </c>
      <c r="AA216" s="12">
        <f t="shared" si="58"/>
        <v>2.7162373266648658</v>
      </c>
      <c r="AB216" s="12">
        <f t="shared" si="59"/>
        <v>0.91520513718955021</v>
      </c>
    </row>
    <row r="217" spans="2:28" x14ac:dyDescent="0.3">
      <c r="B217">
        <v>2023</v>
      </c>
      <c r="C217">
        <v>11</v>
      </c>
      <c r="D217">
        <v>107.96</v>
      </c>
      <c r="G217" s="5">
        <f t="shared" si="49"/>
        <v>101.33600325396576</v>
      </c>
      <c r="H217" s="7">
        <v>102.88679999999999</v>
      </c>
      <c r="K217" s="5">
        <f t="shared" si="50"/>
        <v>104.00897887533067</v>
      </c>
      <c r="L217">
        <v>297.81</v>
      </c>
      <c r="N217" s="5">
        <v>395.4</v>
      </c>
      <c r="O217" s="5">
        <f t="shared" si="51"/>
        <v>132.76921527148181</v>
      </c>
      <c r="P217" s="5">
        <v>275073.72463000007</v>
      </c>
      <c r="Q217" s="5">
        <f t="shared" si="52"/>
        <v>275.07372463000007</v>
      </c>
      <c r="R217">
        <v>145.46396469000018</v>
      </c>
      <c r="S217" s="5">
        <f t="shared" si="53"/>
        <v>420.53768932000025</v>
      </c>
      <c r="T217" s="5">
        <f t="shared" si="54"/>
        <v>141.21006323494854</v>
      </c>
      <c r="U217">
        <v>158.14466524000005</v>
      </c>
      <c r="V217" s="12">
        <f t="shared" si="55"/>
        <v>53.102536932943842</v>
      </c>
      <c r="W217" s="12"/>
      <c r="X217" s="17">
        <f t="shared" si="61"/>
        <v>6210618166.6803198</v>
      </c>
      <c r="Y217" s="17">
        <f t="shared" si="60"/>
        <v>6210.6181666803195</v>
      </c>
      <c r="Z217" s="12">
        <f t="shared" si="57"/>
        <v>2.2736877303540255</v>
      </c>
      <c r="AA217" s="12">
        <f t="shared" si="58"/>
        <v>2.5463594926578952</v>
      </c>
      <c r="AB217" s="12">
        <f t="shared" si="59"/>
        <v>0.85502820343772712</v>
      </c>
    </row>
    <row r="218" spans="2:28" x14ac:dyDescent="0.3">
      <c r="B218">
        <v>2023</v>
      </c>
      <c r="C218">
        <v>12</v>
      </c>
      <c r="D218">
        <v>106.59</v>
      </c>
      <c r="G218" s="5">
        <f t="shared" si="49"/>
        <v>100.05006101185819</v>
      </c>
      <c r="H218" s="7">
        <v>102.6309</v>
      </c>
      <c r="K218" s="5">
        <f t="shared" si="50"/>
        <v>103.75028779256596</v>
      </c>
      <c r="L218">
        <v>302.47000000000003</v>
      </c>
      <c r="N218" s="5">
        <v>420.3</v>
      </c>
      <c r="O218" s="5">
        <f t="shared" si="51"/>
        <v>138.95592951367078</v>
      </c>
      <c r="P218" s="5">
        <v>225903.26537000001</v>
      </c>
      <c r="Q218" s="5">
        <f t="shared" si="52"/>
        <v>225.90326537000001</v>
      </c>
      <c r="R218">
        <v>134.3537185400001</v>
      </c>
      <c r="S218" s="5">
        <f t="shared" si="53"/>
        <v>360.25698391000014</v>
      </c>
      <c r="T218" s="5">
        <f t="shared" si="54"/>
        <v>119.10502989056771</v>
      </c>
      <c r="U218">
        <v>146.70861999000002</v>
      </c>
      <c r="V218" s="12">
        <f t="shared" si="55"/>
        <v>48.503527619268027</v>
      </c>
      <c r="W218" s="12"/>
      <c r="X218" s="17">
        <f t="shared" si="61"/>
        <v>6210618166.6803198</v>
      </c>
      <c r="Y218" s="17">
        <f t="shared" si="60"/>
        <v>6210.6181666803195</v>
      </c>
      <c r="Z218" s="12">
        <f t="shared" si="57"/>
        <v>1.9177644912959022</v>
      </c>
      <c r="AA218" s="12">
        <f t="shared" si="58"/>
        <v>2.3622225043085887</v>
      </c>
      <c r="AB218" s="12">
        <f t="shared" si="59"/>
        <v>0.78097745373378802</v>
      </c>
    </row>
    <row r="219" spans="2:28" x14ac:dyDescent="0.3">
      <c r="H219" s="7"/>
    </row>
    <row r="220" spans="2:28" x14ac:dyDescent="0.3">
      <c r="H220" s="7"/>
    </row>
    <row r="221" spans="2:28" x14ac:dyDescent="0.3">
      <c r="H221" s="7"/>
    </row>
    <row r="222" spans="2:28" x14ac:dyDescent="0.3">
      <c r="H222" s="7"/>
      <c r="P222">
        <f>COUNT(P3:P218)</f>
        <v>216</v>
      </c>
    </row>
    <row r="223" spans="2:28" x14ac:dyDescent="0.3">
      <c r="H223" s="7"/>
    </row>
    <row r="224" spans="2:28" x14ac:dyDescent="0.3">
      <c r="H224" s="7"/>
    </row>
    <row r="225" spans="8:8" x14ac:dyDescent="0.3">
      <c r="H225" s="7"/>
    </row>
    <row r="226" spans="8:8" x14ac:dyDescent="0.3">
      <c r="H226" s="7"/>
    </row>
    <row r="227" spans="8:8" x14ac:dyDescent="0.3">
      <c r="H227" s="7"/>
    </row>
    <row r="228" spans="8:8" x14ac:dyDescent="0.3">
      <c r="H228" s="7"/>
    </row>
    <row r="229" spans="8:8" x14ac:dyDescent="0.3">
      <c r="H229" s="7"/>
    </row>
    <row r="230" spans="8:8" x14ac:dyDescent="0.3">
      <c r="H230" s="7"/>
    </row>
    <row r="231" spans="8:8" x14ac:dyDescent="0.3">
      <c r="H231" s="7"/>
    </row>
    <row r="232" spans="8:8" x14ac:dyDescent="0.3">
      <c r="H232" s="7"/>
    </row>
    <row r="233" spans="8:8" x14ac:dyDescent="0.3">
      <c r="H233" s="7"/>
    </row>
    <row r="234" spans="8:8" x14ac:dyDescent="0.3">
      <c r="H234" s="7"/>
    </row>
    <row r="235" spans="8:8" x14ac:dyDescent="0.3">
      <c r="H235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trimestral_%_pibt</vt:lpstr>
      <vt:lpstr>Hoja1</vt:lpstr>
      <vt:lpstr>ponderacion_pibt</vt:lpstr>
      <vt:lpstr>ponderaciones</vt:lpstr>
    </vt:vector>
  </TitlesOfParts>
  <Company>Universidad Nacional de Ingenieria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Josué</dc:creator>
  <cp:lastModifiedBy>Emerson Josue Lopez Zeledon</cp:lastModifiedBy>
  <dcterms:created xsi:type="dcterms:W3CDTF">2025-05-06T15:11:17Z</dcterms:created>
  <dcterms:modified xsi:type="dcterms:W3CDTF">2025-10-09T14:32:44Z</dcterms:modified>
</cp:coreProperties>
</file>